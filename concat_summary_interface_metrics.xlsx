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llasmilr\Documents\github\AcpP_binding\"/>
    </mc:Choice>
  </mc:AlternateContent>
  <xr:revisionPtr revIDLastSave="0" documentId="8_{8B09BDC6-B7F0-49D8-ACEC-597A3A4D14A9}" xr6:coauthVersionLast="47" xr6:coauthVersionMax="47" xr10:uidLastSave="{00000000-0000-0000-0000-000000000000}"/>
  <bookViews>
    <workbookView xWindow="-120" yWindow="-120" windowWidth="29040" windowHeight="17520" activeTab="1" xr2:uid="{2B890628-1445-4E91-9B4B-8C7098530B8F}"/>
  </bookViews>
  <sheets>
    <sheet name="concat_summary_interface_metric" sheetId="1" r:id="rId1"/>
    <sheet name="Sheet1" sheetId="3" r:id="rId2"/>
  </sheets>
  <calcPr calcId="0"/>
</workbook>
</file>

<file path=xl/calcChain.xml><?xml version="1.0" encoding="utf-8"?>
<calcChain xmlns="http://schemas.openxmlformats.org/spreadsheetml/2006/main">
  <c r="M67" i="3" l="1"/>
  <c r="I67" i="3"/>
  <c r="M56" i="3"/>
  <c r="I56" i="3"/>
  <c r="M45" i="3"/>
  <c r="I45" i="3"/>
  <c r="M34" i="3"/>
  <c r="I34" i="3"/>
  <c r="M23" i="3"/>
  <c r="I23" i="3"/>
  <c r="M12" i="3"/>
  <c r="M68" i="3" s="1"/>
  <c r="I12" i="3"/>
  <c r="I68" i="3" s="1"/>
</calcChain>
</file>

<file path=xl/sharedStrings.xml><?xml version="1.0" encoding="utf-8"?>
<sst xmlns="http://schemas.openxmlformats.org/spreadsheetml/2006/main" count="689" uniqueCount="128">
  <si>
    <t>method</t>
  </si>
  <si>
    <t>total_score</t>
  </si>
  <si>
    <t>complex_normalized</t>
  </si>
  <si>
    <t>dG_cross</t>
  </si>
  <si>
    <t>dG_cross/dSASAx100</t>
  </si>
  <si>
    <t>dG_separated</t>
  </si>
  <si>
    <t>dG_separated/dSASAx100</t>
  </si>
  <si>
    <t>dSASA_hphobic</t>
  </si>
  <si>
    <t>dSASA_int</t>
  </si>
  <si>
    <t>dSASA_polar</t>
  </si>
  <si>
    <t>delta_unsatHbonds</t>
  </si>
  <si>
    <t>hbond_E_fraction</t>
  </si>
  <si>
    <t>hbonds_int</t>
  </si>
  <si>
    <t>nres_all</t>
  </si>
  <si>
    <t>nres_int</t>
  </si>
  <si>
    <t>packstat</t>
  </si>
  <si>
    <t>per_residue_energy_int</t>
  </si>
  <si>
    <t>sc_value</t>
  </si>
  <si>
    <t>side1_normalized</t>
  </si>
  <si>
    <t>side1_score</t>
  </si>
  <si>
    <t>side2_normalized</t>
  </si>
  <si>
    <t>side2_score</t>
  </si>
  <si>
    <t>adcp_affinity</t>
  </si>
  <si>
    <t xml:space="preserve">target </t>
  </si>
  <si>
    <t>ligand</t>
  </si>
  <si>
    <t>file</t>
  </si>
  <si>
    <t>af3</t>
  </si>
  <si>
    <t>NA</t>
  </si>
  <si>
    <t>1t8k</t>
  </si>
  <si>
    <t>ll-37</t>
  </si>
  <si>
    <t>fold_1t8k_ll37_model_0.pdb</t>
  </si>
  <si>
    <t>fold_1t8k_ll37_model_1.pdb</t>
  </si>
  <si>
    <t>fold_1t8k_ll37_model_2.pdb</t>
  </si>
  <si>
    <t>fold_1t8k_ll37_model_3.pdb</t>
  </si>
  <si>
    <t>fold_1t8k_ll37_model_4.pdb</t>
  </si>
  <si>
    <t>melittin</t>
  </si>
  <si>
    <t>fold_1t8k_melittin_model_0.pdb</t>
  </si>
  <si>
    <t>fold_1t8k_melittin_model_1.pdb</t>
  </si>
  <si>
    <t>fold_1t8k_melittin_model_2.pdb</t>
  </si>
  <si>
    <t>fold_1t8k_melittin_model_3.pdb</t>
  </si>
  <si>
    <t>fold_1t8k_melittin_model_4.pdb</t>
  </si>
  <si>
    <t>smap-29</t>
  </si>
  <si>
    <t>fold_1t8k_smap29_model_0.pdb</t>
  </si>
  <si>
    <t>fold_1t8k_smap29_model_1.pdb</t>
  </si>
  <si>
    <t>fold_1t8k_smap29_model_2.pdb</t>
  </si>
  <si>
    <t>fold_1t8k_smap29_model_3.pdb</t>
  </si>
  <si>
    <t>fold_1t8k_smap29_model_4.pdb</t>
  </si>
  <si>
    <t>aoq7ko</t>
  </si>
  <si>
    <t>fold_a0q7ko_ll37_model_0.pdb</t>
  </si>
  <si>
    <t>fold_a0q7ko_ll37_model_1.pdb</t>
  </si>
  <si>
    <t>fold_a0q7ko_ll37_model_2.pdb</t>
  </si>
  <si>
    <t>fold_a0q7ko_ll37_model_3.pdb</t>
  </si>
  <si>
    <t>fold_a0q7ko_ll37_model_4.pdb</t>
  </si>
  <si>
    <t>fold_a0q7ko_melittin_model_0.pdb</t>
  </si>
  <si>
    <t>fold_a0q7ko_melittin_model_1.pdb</t>
  </si>
  <si>
    <t>fold_a0q7ko_melittin_model_2.pdb</t>
  </si>
  <si>
    <t>fold_a0q7ko_melittin_model_3.pdb</t>
  </si>
  <si>
    <t>fold_a0q7ko_melittin_model_4.pdb</t>
  </si>
  <si>
    <t>fold_a0q7ko_smap29_model_0.pdb</t>
  </si>
  <si>
    <t>fold_a0q7ko_smap29_model_1.pdb</t>
  </si>
  <si>
    <t>fold_a0q7ko_smap29_model_2.pdb</t>
  </si>
  <si>
    <t>fold_a0q7ko_smap29_model_3.pdb</t>
  </si>
  <si>
    <t>fold_a0q7ko_smap29_model_4.pdb</t>
  </si>
  <si>
    <t>adcp</t>
  </si>
  <si>
    <t>1T8K_LL37_complex_docking_ranked_1.pdb</t>
  </si>
  <si>
    <t>1T8K_LL37_complex_docking_ranked_2.pdb</t>
  </si>
  <si>
    <t>1T8K_LL37_complex_docking_ranked_3.pdb</t>
  </si>
  <si>
    <t>1T8K_LL37_complex_docking_ranked_4.pdb</t>
  </si>
  <si>
    <t>1T8K_LL37_complex_docking_ranked_5.pdb</t>
  </si>
  <si>
    <t>1T8K_LL37_complex_docking_ranked_6.pdb</t>
  </si>
  <si>
    <t>1T8K_LL37_complex_docking_ranked_7.pdb</t>
  </si>
  <si>
    <t>1T8K_LL37_complex_docking_ranked_8.pdb</t>
  </si>
  <si>
    <t>1T8K_LL37_complex_docking_ranked_9.pdb</t>
  </si>
  <si>
    <t>1T8K_LL37_complex_docking_ranked_10.pdb</t>
  </si>
  <si>
    <t>1T8K_MELITTIN_complex_docking_ranked_1.pdb</t>
  </si>
  <si>
    <t>1T8K_MELITTIN_complex_docking_ranked_2.pdb</t>
  </si>
  <si>
    <t>1T8K_MELITTIN_complex_docking_ranked_3.pdb</t>
  </si>
  <si>
    <t>1T8K_MELITTIN_complex_docking_ranked_4.pdb</t>
  </si>
  <si>
    <t>1T8K_MELITTIN_complex_docking_ranked_5.pdb</t>
  </si>
  <si>
    <t>1T8K_MELITTIN_complex_docking_ranked_6.pdb</t>
  </si>
  <si>
    <t>1T8K_MELITTIN_complex_docking_ranked_7.pdb</t>
  </si>
  <si>
    <t>1T8K_MELITTIN_complex_docking_ranked_8.pdb</t>
  </si>
  <si>
    <t>1T8K_MELITTIN_complex_docking_ranked_9.pdb</t>
  </si>
  <si>
    <t>1T8K_MELITTIN_complex_docking_ranked_10.pdb</t>
  </si>
  <si>
    <t>1T8K_SMAP29_complex_docking_ranked_1.pdb</t>
  </si>
  <si>
    <t>1T8K_SMAP29_complex_docking_ranked_2.pdb</t>
  </si>
  <si>
    <t>1T8K_SMAP29_complex_docking_ranked_3.pdb</t>
  </si>
  <si>
    <t>1T8K_SMAP29_complex_docking_ranked_4.pdb</t>
  </si>
  <si>
    <t>1T8K_SMAP29_complex_docking_ranked_5.pdb</t>
  </si>
  <si>
    <t>1T8K_SMAP29_complex_docking_ranked_6.pdb</t>
  </si>
  <si>
    <t>1T8K_SMAP29_complex_docking_ranked_7.pdb</t>
  </si>
  <si>
    <t>1T8K_SMAP29_complex_docking_ranked_8.pdb</t>
  </si>
  <si>
    <t>1T8K_SMAP29_complex_docking_ranked_9.pdb</t>
  </si>
  <si>
    <t>1T8K_SMAP29_complex_docking_ranked_10.pdb</t>
  </si>
  <si>
    <t>A0Q7KO_LL37_complex_docking_ranked_1.pdb</t>
  </si>
  <si>
    <t>A0Q7KO_LL37_complex_docking_ranked_2.pdb</t>
  </si>
  <si>
    <t>A0Q7KO_LL37_complex_docking_ranked_3.pdb</t>
  </si>
  <si>
    <t>A0Q7KO_LL37_complex_docking_ranked_4.pdb</t>
  </si>
  <si>
    <t>A0Q7KO_LL37_complex_docking_ranked_5.pdb</t>
  </si>
  <si>
    <t>A0Q7KO_LL37_complex_docking_ranked_6.pdb</t>
  </si>
  <si>
    <t>A0Q7KO_LL37_complex_docking_ranked_7.pdb</t>
  </si>
  <si>
    <t>A0Q7KO_LL37_complex_docking_ranked_8.pdb</t>
  </si>
  <si>
    <t>A0Q7KO_LL37_complex_docking_ranked_9.pdb</t>
  </si>
  <si>
    <t>A0Q7KO_LL37_complex_docking_ranked_10.pdb</t>
  </si>
  <si>
    <t>A0Q7KO_MELITTIN_complex_docking_ranked_1.pdb</t>
  </si>
  <si>
    <t>A0Q7KO_MELITTIN_complex_docking_ranked_2.pdb</t>
  </si>
  <si>
    <t>A0Q7KO_MELITTIN_complex_docking_ranked_3.pdb</t>
  </si>
  <si>
    <t>A0Q7KO_MELITTIN_complex_docking_ranked_4.pdb</t>
  </si>
  <si>
    <t>A0Q7KO_MELITTIN_complex_docking_ranked_5.pdb</t>
  </si>
  <si>
    <t>A0Q7KO_MELITTIN_complex_docking_ranked_6.pdb</t>
  </si>
  <si>
    <t>A0Q7KO_MELITTIN_complex_docking_ranked_7.pdb</t>
  </si>
  <si>
    <t>A0Q7KO_MELITTIN_complex_docking_ranked_8.pdb</t>
  </si>
  <si>
    <t>A0Q7KO_MELITTIN_complex_docking_ranked_9.pdb</t>
  </si>
  <si>
    <t>A0Q7KO_MELITTIN_complex_docking_ranked_10.pdb</t>
  </si>
  <si>
    <t>A0Q7KO_SMAP29_complex_docking_ranked_1.pdb</t>
  </si>
  <si>
    <t>A0Q7KO_SMAP29_complex_docking_ranked_2.pdb</t>
  </si>
  <si>
    <t>A0Q7KO_SMAP29_complex_docking_ranked_3.pdb</t>
  </si>
  <si>
    <t>A0Q7KO_SMAP29_complex_docking_ranked_4.pdb</t>
  </si>
  <si>
    <t>A0Q7KO_SMAP29_complex_docking_ranked_5.pdb</t>
  </si>
  <si>
    <t>A0Q7KO_SMAP29_complex_docking_ranked_6.pdb</t>
  </si>
  <si>
    <t>A0Q7KO_SMAP29_complex_docking_ranked_7.pdb</t>
  </si>
  <si>
    <t>A0Q7KO_SMAP29_complex_docking_ranked_8.pdb</t>
  </si>
  <si>
    <t>A0Q7KO_SMAP29_complex_docking_ranked_9.pdb</t>
  </si>
  <si>
    <t>A0Q7KO_SMAP29_complex_docking_ranked_10.pdb</t>
  </si>
  <si>
    <t>Grand Average</t>
  </si>
  <si>
    <t>ll-37 Average</t>
  </si>
  <si>
    <t>melittin Average</t>
  </si>
  <si>
    <t>smap-29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</si>
</sst>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BE7B-89DB-4127-869D-6A26781589A4}">
  <sheetPr>
    <outlinePr summaryBelow="0"/>
  </sheetPr>
  <dimension ref="A1:Z91"/>
  <sheetViews>
    <sheetView topLeftCell="N56" workbookViewId="0">
      <selection sqref="A1:AD91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0</v>
      </c>
      <c r="C2">
        <v>0.221</v>
      </c>
      <c r="D2">
        <v>-23.199000000000002</v>
      </c>
      <c r="E2">
        <v>-1.119</v>
      </c>
      <c r="F2">
        <v>-4.6050000000000004</v>
      </c>
      <c r="G2">
        <v>-0.222</v>
      </c>
      <c r="H2">
        <v>1347.933</v>
      </c>
      <c r="I2">
        <v>2072.538</v>
      </c>
      <c r="J2">
        <v>724.60500000000002</v>
      </c>
      <c r="K2">
        <v>4</v>
      </c>
      <c r="L2">
        <v>0.158</v>
      </c>
      <c r="M2">
        <v>1</v>
      </c>
      <c r="N2">
        <v>114</v>
      </c>
      <c r="O2">
        <v>60</v>
      </c>
      <c r="P2">
        <v>0</v>
      </c>
      <c r="Q2">
        <v>-0.83</v>
      </c>
      <c r="R2">
        <v>0.45800000000000002</v>
      </c>
      <c r="S2">
        <v>-1.0489999999999999</v>
      </c>
      <c r="T2">
        <v>-35.664999999999999</v>
      </c>
      <c r="U2">
        <v>-0.54400000000000004</v>
      </c>
      <c r="V2">
        <v>-14.143000000000001</v>
      </c>
      <c r="W2" t="s">
        <v>27</v>
      </c>
      <c r="X2" t="s">
        <v>28</v>
      </c>
      <c r="Y2" t="s">
        <v>29</v>
      </c>
      <c r="Z2" t="s">
        <v>30</v>
      </c>
    </row>
    <row r="3" spans="1:26" x14ac:dyDescent="0.25">
      <c r="A3" t="s">
        <v>26</v>
      </c>
      <c r="B3">
        <v>0</v>
      </c>
      <c r="C3">
        <v>-1.0309999999999999</v>
      </c>
      <c r="D3">
        <v>-24.218</v>
      </c>
      <c r="E3">
        <v>-1.4239999999999999</v>
      </c>
      <c r="F3">
        <v>-14.034000000000001</v>
      </c>
      <c r="G3">
        <v>-0.82499999999999996</v>
      </c>
      <c r="H3">
        <v>1256.404</v>
      </c>
      <c r="I3">
        <v>1700.3340000000001</v>
      </c>
      <c r="J3">
        <v>443.93</v>
      </c>
      <c r="K3">
        <v>6</v>
      </c>
      <c r="L3">
        <v>1E-3</v>
      </c>
      <c r="M3">
        <v>1</v>
      </c>
      <c r="N3">
        <v>114</v>
      </c>
      <c r="O3">
        <v>54</v>
      </c>
      <c r="P3">
        <v>0</v>
      </c>
      <c r="Q3">
        <v>-1.772</v>
      </c>
      <c r="R3">
        <v>0.53200000000000003</v>
      </c>
      <c r="S3">
        <v>-1.9750000000000001</v>
      </c>
      <c r="T3">
        <v>-59.247</v>
      </c>
      <c r="U3">
        <v>-1.518</v>
      </c>
      <c r="V3">
        <v>-36.433</v>
      </c>
      <c r="W3" t="s">
        <v>27</v>
      </c>
      <c r="X3" t="s">
        <v>28</v>
      </c>
      <c r="Y3" t="s">
        <v>29</v>
      </c>
      <c r="Z3" t="s">
        <v>31</v>
      </c>
    </row>
    <row r="4" spans="1:26" x14ac:dyDescent="0.25">
      <c r="A4" t="s">
        <v>26</v>
      </c>
      <c r="B4">
        <v>0</v>
      </c>
      <c r="C4">
        <v>-0.5</v>
      </c>
      <c r="D4">
        <v>-23.347000000000001</v>
      </c>
      <c r="E4">
        <v>-1.6519999999999999</v>
      </c>
      <c r="F4">
        <v>-20.004000000000001</v>
      </c>
      <c r="G4">
        <v>-1.415</v>
      </c>
      <c r="H4">
        <v>976.24199999999996</v>
      </c>
      <c r="I4">
        <v>1413.5250000000001</v>
      </c>
      <c r="J4">
        <v>437.28300000000002</v>
      </c>
      <c r="K4">
        <v>2</v>
      </c>
      <c r="L4">
        <v>2.4E-2</v>
      </c>
      <c r="M4">
        <v>1</v>
      </c>
      <c r="N4">
        <v>114</v>
      </c>
      <c r="O4">
        <v>42</v>
      </c>
      <c r="P4">
        <v>0</v>
      </c>
      <c r="Q4">
        <v>-1.7869999999999999</v>
      </c>
      <c r="R4">
        <v>0.55600000000000005</v>
      </c>
      <c r="S4">
        <v>-1.696</v>
      </c>
      <c r="T4">
        <v>-35.612000000000002</v>
      </c>
      <c r="U4">
        <v>-1.8779999999999999</v>
      </c>
      <c r="V4">
        <v>-39.430999999999997</v>
      </c>
      <c r="W4" t="s">
        <v>27</v>
      </c>
      <c r="X4" t="s">
        <v>28</v>
      </c>
      <c r="Y4" t="s">
        <v>29</v>
      </c>
      <c r="Z4" t="s">
        <v>32</v>
      </c>
    </row>
    <row r="5" spans="1:26" x14ac:dyDescent="0.25">
      <c r="A5" t="s">
        <v>26</v>
      </c>
      <c r="B5">
        <v>0</v>
      </c>
      <c r="C5">
        <v>1.3109999999999999</v>
      </c>
      <c r="D5">
        <v>-10.368</v>
      </c>
      <c r="E5">
        <v>-0.67300000000000004</v>
      </c>
      <c r="F5">
        <v>5.0289999999999999</v>
      </c>
      <c r="G5">
        <v>0.32600000000000001</v>
      </c>
      <c r="H5">
        <v>1146.6959999999999</v>
      </c>
      <c r="I5">
        <v>1541.345</v>
      </c>
      <c r="J5">
        <v>394.649</v>
      </c>
      <c r="K5">
        <v>3</v>
      </c>
      <c r="L5">
        <v>0</v>
      </c>
      <c r="M5">
        <v>0</v>
      </c>
      <c r="N5">
        <v>114</v>
      </c>
      <c r="O5">
        <v>51</v>
      </c>
      <c r="P5">
        <v>0</v>
      </c>
      <c r="Q5">
        <v>-0.48099999999999998</v>
      </c>
      <c r="R5">
        <v>0.53700000000000003</v>
      </c>
      <c r="S5">
        <v>5.8000000000000003E-2</v>
      </c>
      <c r="T5">
        <v>1.6679999999999999</v>
      </c>
      <c r="U5">
        <v>-1.1919999999999999</v>
      </c>
      <c r="V5">
        <v>-26.216999999999999</v>
      </c>
      <c r="W5" t="s">
        <v>27</v>
      </c>
      <c r="X5" t="s">
        <v>28</v>
      </c>
      <c r="Y5" t="s">
        <v>29</v>
      </c>
      <c r="Z5" t="s">
        <v>33</v>
      </c>
    </row>
    <row r="6" spans="1:26" x14ac:dyDescent="0.25">
      <c r="A6" t="s">
        <v>26</v>
      </c>
      <c r="B6">
        <v>0</v>
      </c>
      <c r="C6">
        <v>9.4E-2</v>
      </c>
      <c r="D6">
        <v>-3.6059999999999999</v>
      </c>
      <c r="E6">
        <v>-0.24399999999999999</v>
      </c>
      <c r="F6">
        <v>17.757999999999999</v>
      </c>
      <c r="G6">
        <v>1.202</v>
      </c>
      <c r="H6">
        <v>956.60599999999999</v>
      </c>
      <c r="I6">
        <v>1476.99</v>
      </c>
      <c r="J6">
        <v>520.38499999999999</v>
      </c>
      <c r="K6">
        <v>4</v>
      </c>
      <c r="L6">
        <v>-8.1000000000000003E-2</v>
      </c>
      <c r="M6">
        <v>3</v>
      </c>
      <c r="N6">
        <v>114</v>
      </c>
      <c r="O6">
        <v>50</v>
      </c>
      <c r="P6">
        <v>0</v>
      </c>
      <c r="Q6">
        <v>-0.69899999999999995</v>
      </c>
      <c r="R6">
        <v>0.498</v>
      </c>
      <c r="S6">
        <v>-0.91600000000000004</v>
      </c>
      <c r="T6">
        <v>-25.643000000000001</v>
      </c>
      <c r="U6">
        <v>-0.42299999999999999</v>
      </c>
      <c r="V6">
        <v>-9.3030000000000008</v>
      </c>
      <c r="W6" t="s">
        <v>27</v>
      </c>
      <c r="X6" t="s">
        <v>28</v>
      </c>
      <c r="Y6" t="s">
        <v>29</v>
      </c>
      <c r="Z6" t="s">
        <v>34</v>
      </c>
    </row>
    <row r="7" spans="1:26" x14ac:dyDescent="0.25">
      <c r="A7" t="s">
        <v>26</v>
      </c>
      <c r="B7">
        <v>0</v>
      </c>
      <c r="C7">
        <v>3.7679999999999998</v>
      </c>
      <c r="D7">
        <v>10.936999999999999</v>
      </c>
      <c r="E7">
        <v>0.88700000000000001</v>
      </c>
      <c r="F7">
        <v>40.85</v>
      </c>
      <c r="G7">
        <v>3.3119999999999998</v>
      </c>
      <c r="H7">
        <v>843.59900000000005</v>
      </c>
      <c r="I7">
        <v>1233.498</v>
      </c>
      <c r="J7">
        <v>389.89800000000002</v>
      </c>
      <c r="K7">
        <v>2</v>
      </c>
      <c r="L7">
        <v>-1.7999999999999999E-2</v>
      </c>
      <c r="M7">
        <v>1</v>
      </c>
      <c r="N7">
        <v>103</v>
      </c>
      <c r="O7">
        <v>35</v>
      </c>
      <c r="P7">
        <v>0</v>
      </c>
      <c r="Q7">
        <v>0.997</v>
      </c>
      <c r="R7">
        <v>0.58399999999999996</v>
      </c>
      <c r="S7">
        <v>0.45700000000000002</v>
      </c>
      <c r="T7">
        <v>9.1359999999999992</v>
      </c>
      <c r="U7">
        <v>1.718</v>
      </c>
      <c r="V7">
        <v>25.774999999999999</v>
      </c>
      <c r="W7" t="s">
        <v>27</v>
      </c>
      <c r="X7" t="s">
        <v>28</v>
      </c>
      <c r="Y7" t="s">
        <v>35</v>
      </c>
      <c r="Z7" t="s">
        <v>36</v>
      </c>
    </row>
    <row r="8" spans="1:26" x14ac:dyDescent="0.25">
      <c r="A8" t="s">
        <v>26</v>
      </c>
      <c r="B8">
        <v>0</v>
      </c>
      <c r="C8">
        <v>0.105</v>
      </c>
      <c r="D8">
        <v>32.54</v>
      </c>
      <c r="E8">
        <v>5.49</v>
      </c>
      <c r="F8">
        <v>40.524000000000001</v>
      </c>
      <c r="G8">
        <v>6.8369999999999997</v>
      </c>
      <c r="H8">
        <v>454.66300000000001</v>
      </c>
      <c r="I8">
        <v>592.74</v>
      </c>
      <c r="J8">
        <v>138.077</v>
      </c>
      <c r="K8">
        <v>3</v>
      </c>
      <c r="L8">
        <v>0</v>
      </c>
      <c r="M8">
        <v>0</v>
      </c>
      <c r="N8">
        <v>103</v>
      </c>
      <c r="O8">
        <v>23</v>
      </c>
      <c r="P8">
        <v>0</v>
      </c>
      <c r="Q8">
        <v>1.2569999999999999</v>
      </c>
      <c r="R8">
        <v>0.58599999999999997</v>
      </c>
      <c r="S8">
        <v>1.544</v>
      </c>
      <c r="T8">
        <v>13.896000000000001</v>
      </c>
      <c r="U8">
        <v>1.0720000000000001</v>
      </c>
      <c r="V8">
        <v>15.007</v>
      </c>
      <c r="W8" t="s">
        <v>27</v>
      </c>
      <c r="X8" t="s">
        <v>28</v>
      </c>
      <c r="Y8" t="s">
        <v>35</v>
      </c>
      <c r="Z8" t="s">
        <v>37</v>
      </c>
    </row>
    <row r="9" spans="1:26" x14ac:dyDescent="0.25">
      <c r="A9" t="s">
        <v>26</v>
      </c>
      <c r="B9">
        <v>0</v>
      </c>
      <c r="C9">
        <v>0.45800000000000002</v>
      </c>
      <c r="D9">
        <v>11.920999999999999</v>
      </c>
      <c r="E9">
        <v>1.04</v>
      </c>
      <c r="F9">
        <v>35.951000000000001</v>
      </c>
      <c r="G9">
        <v>3.1360000000000001</v>
      </c>
      <c r="H9">
        <v>766.49400000000003</v>
      </c>
      <c r="I9">
        <v>1146.3119999999999</v>
      </c>
      <c r="J9">
        <v>379.81799999999998</v>
      </c>
      <c r="K9">
        <v>8</v>
      </c>
      <c r="L9">
        <v>-4.1000000000000002E-2</v>
      </c>
      <c r="M9">
        <v>3</v>
      </c>
      <c r="N9">
        <v>103</v>
      </c>
      <c r="O9">
        <v>42</v>
      </c>
      <c r="P9">
        <v>0</v>
      </c>
      <c r="Q9">
        <v>0.32100000000000001</v>
      </c>
      <c r="R9">
        <v>0.61499999999999999</v>
      </c>
      <c r="S9">
        <v>0.12</v>
      </c>
      <c r="T9">
        <v>3.0059999999999998</v>
      </c>
      <c r="U9">
        <v>0.61699999999999999</v>
      </c>
      <c r="V9">
        <v>10.493</v>
      </c>
      <c r="W9" t="s">
        <v>27</v>
      </c>
      <c r="X9" t="s">
        <v>28</v>
      </c>
      <c r="Y9" t="s">
        <v>35</v>
      </c>
      <c r="Z9" t="s">
        <v>38</v>
      </c>
    </row>
    <row r="10" spans="1:26" x14ac:dyDescent="0.25">
      <c r="A10" t="s">
        <v>26</v>
      </c>
      <c r="B10">
        <v>0</v>
      </c>
      <c r="C10">
        <v>0.14099999999999999</v>
      </c>
      <c r="D10">
        <v>-18.673999999999999</v>
      </c>
      <c r="E10">
        <v>-1.415</v>
      </c>
      <c r="F10">
        <v>35.817999999999998</v>
      </c>
      <c r="G10">
        <v>2.714</v>
      </c>
      <c r="H10">
        <v>908.12</v>
      </c>
      <c r="I10">
        <v>1319.633</v>
      </c>
      <c r="J10">
        <v>411.51299999999998</v>
      </c>
      <c r="K10">
        <v>7</v>
      </c>
      <c r="L10">
        <v>-1.7000000000000001E-2</v>
      </c>
      <c r="M10">
        <v>1</v>
      </c>
      <c r="N10">
        <v>103</v>
      </c>
      <c r="O10">
        <v>49</v>
      </c>
      <c r="P10">
        <v>0</v>
      </c>
      <c r="Q10">
        <v>-5.7000000000000002E-2</v>
      </c>
      <c r="R10">
        <v>0.52800000000000002</v>
      </c>
      <c r="S10">
        <v>-1.3</v>
      </c>
      <c r="T10">
        <v>-35.112000000000002</v>
      </c>
      <c r="U10">
        <v>1.4690000000000001</v>
      </c>
      <c r="V10">
        <v>32.322000000000003</v>
      </c>
      <c r="W10" t="s">
        <v>27</v>
      </c>
      <c r="X10" t="s">
        <v>28</v>
      </c>
      <c r="Y10" t="s">
        <v>35</v>
      </c>
      <c r="Z10" t="s">
        <v>39</v>
      </c>
    </row>
    <row r="11" spans="1:26" x14ac:dyDescent="0.25">
      <c r="A11" t="s">
        <v>26</v>
      </c>
      <c r="B11">
        <v>0</v>
      </c>
      <c r="C11">
        <v>1.8109999999999999</v>
      </c>
      <c r="D11">
        <v>-7.681</v>
      </c>
      <c r="E11">
        <v>-0.52600000000000002</v>
      </c>
      <c r="F11">
        <v>17.542000000000002</v>
      </c>
      <c r="G11">
        <v>1.202</v>
      </c>
      <c r="H11">
        <v>929.58799999999997</v>
      </c>
      <c r="I11">
        <v>1459.694</v>
      </c>
      <c r="J11">
        <v>530.10699999999997</v>
      </c>
      <c r="K11">
        <v>4</v>
      </c>
      <c r="L11">
        <v>0</v>
      </c>
      <c r="M11">
        <v>1</v>
      </c>
      <c r="N11">
        <v>103</v>
      </c>
      <c r="O11">
        <v>50</v>
      </c>
      <c r="P11">
        <v>0</v>
      </c>
      <c r="Q11">
        <v>0.86</v>
      </c>
      <c r="R11">
        <v>0.59899999999999998</v>
      </c>
      <c r="S11">
        <v>0.85499999999999998</v>
      </c>
      <c r="T11">
        <v>25.652999999999999</v>
      </c>
      <c r="U11">
        <v>0.86599999999999999</v>
      </c>
      <c r="V11">
        <v>17.327999999999999</v>
      </c>
      <c r="W11" t="s">
        <v>27</v>
      </c>
      <c r="X11" t="s">
        <v>28</v>
      </c>
      <c r="Y11" t="s">
        <v>35</v>
      </c>
      <c r="Z11" t="s">
        <v>40</v>
      </c>
    </row>
    <row r="12" spans="1:26" x14ac:dyDescent="0.25">
      <c r="A12" t="s">
        <v>26</v>
      </c>
      <c r="B12">
        <v>0</v>
      </c>
      <c r="C12">
        <v>0.81599999999999995</v>
      </c>
      <c r="D12">
        <v>-11.769</v>
      </c>
      <c r="E12">
        <v>-1.056</v>
      </c>
      <c r="F12">
        <v>-3.5379999999999998</v>
      </c>
      <c r="G12">
        <v>-0.317</v>
      </c>
      <c r="H12">
        <v>513.33199999999999</v>
      </c>
      <c r="I12">
        <v>1114.4849999999999</v>
      </c>
      <c r="J12">
        <v>601.15300000000002</v>
      </c>
      <c r="K12">
        <v>10</v>
      </c>
      <c r="L12">
        <v>0.47799999999999998</v>
      </c>
      <c r="M12">
        <v>2</v>
      </c>
      <c r="N12">
        <v>106</v>
      </c>
      <c r="O12">
        <v>29</v>
      </c>
      <c r="P12">
        <v>0</v>
      </c>
      <c r="Q12">
        <v>-1.0509999999999999</v>
      </c>
      <c r="R12">
        <v>0.38100000000000001</v>
      </c>
      <c r="S12">
        <v>-0.999</v>
      </c>
      <c r="T12">
        <v>-15.984</v>
      </c>
      <c r="U12">
        <v>-1.1140000000000001</v>
      </c>
      <c r="V12">
        <v>-14.48</v>
      </c>
      <c r="W12" t="s">
        <v>27</v>
      </c>
      <c r="X12" t="s">
        <v>28</v>
      </c>
      <c r="Y12" t="s">
        <v>41</v>
      </c>
      <c r="Z12" t="s">
        <v>42</v>
      </c>
    </row>
    <row r="13" spans="1:26" x14ac:dyDescent="0.25">
      <c r="A13" t="s">
        <v>26</v>
      </c>
      <c r="B13">
        <v>0</v>
      </c>
      <c r="C13">
        <v>1.548</v>
      </c>
      <c r="D13">
        <v>64.777000000000001</v>
      </c>
      <c r="E13">
        <v>4.6920000000000002</v>
      </c>
      <c r="F13">
        <v>83.423000000000002</v>
      </c>
      <c r="G13">
        <v>6.0430000000000001</v>
      </c>
      <c r="H13">
        <v>773.68</v>
      </c>
      <c r="I13">
        <v>1380.501</v>
      </c>
      <c r="J13">
        <v>606.822</v>
      </c>
      <c r="K13">
        <v>0</v>
      </c>
      <c r="L13">
        <v>-4.4999999999999998E-2</v>
      </c>
      <c r="M13">
        <v>5</v>
      </c>
      <c r="N13">
        <v>106</v>
      </c>
      <c r="O13">
        <v>46</v>
      </c>
      <c r="P13">
        <v>0</v>
      </c>
      <c r="Q13">
        <v>2.0259999999999998</v>
      </c>
      <c r="R13">
        <v>0.56000000000000005</v>
      </c>
      <c r="S13">
        <v>1.129</v>
      </c>
      <c r="T13">
        <v>24.838999999999999</v>
      </c>
      <c r="U13">
        <v>2.8479999999999999</v>
      </c>
      <c r="V13">
        <v>68.344999999999999</v>
      </c>
      <c r="W13" t="s">
        <v>27</v>
      </c>
      <c r="X13" t="s">
        <v>28</v>
      </c>
      <c r="Y13" t="s">
        <v>41</v>
      </c>
      <c r="Z13" t="s">
        <v>43</v>
      </c>
    </row>
    <row r="14" spans="1:26" x14ac:dyDescent="0.25">
      <c r="A14" t="s">
        <v>26</v>
      </c>
      <c r="B14">
        <v>0</v>
      </c>
      <c r="C14">
        <v>4.6790000000000003</v>
      </c>
      <c r="D14">
        <v>188.417</v>
      </c>
      <c r="E14">
        <v>14.670999999999999</v>
      </c>
      <c r="F14">
        <v>223.55500000000001</v>
      </c>
      <c r="G14">
        <v>17.407</v>
      </c>
      <c r="H14">
        <v>871.05799999999999</v>
      </c>
      <c r="I14">
        <v>1284.2729999999999</v>
      </c>
      <c r="J14">
        <v>413.21499999999997</v>
      </c>
      <c r="K14">
        <v>8</v>
      </c>
      <c r="L14">
        <v>-1.2999999999999999E-2</v>
      </c>
      <c r="M14">
        <v>5</v>
      </c>
      <c r="N14">
        <v>106</v>
      </c>
      <c r="O14">
        <v>53</v>
      </c>
      <c r="P14">
        <v>0</v>
      </c>
      <c r="Q14">
        <v>5.4450000000000003</v>
      </c>
      <c r="R14">
        <v>0.56299999999999994</v>
      </c>
      <c r="S14">
        <v>5.98</v>
      </c>
      <c r="T14">
        <v>173.428</v>
      </c>
      <c r="U14">
        <v>4.7990000000000004</v>
      </c>
      <c r="V14">
        <v>115.178</v>
      </c>
      <c r="W14" t="s">
        <v>27</v>
      </c>
      <c r="X14" t="s">
        <v>28</v>
      </c>
      <c r="Y14" t="s">
        <v>41</v>
      </c>
      <c r="Z14" t="s">
        <v>44</v>
      </c>
    </row>
    <row r="15" spans="1:26" x14ac:dyDescent="0.25">
      <c r="A15" t="s">
        <v>26</v>
      </c>
      <c r="B15">
        <v>0</v>
      </c>
      <c r="C15">
        <v>4.6639999999999997</v>
      </c>
      <c r="D15">
        <v>96.706999999999994</v>
      </c>
      <c r="E15">
        <v>10.141</v>
      </c>
      <c r="F15">
        <v>116.827</v>
      </c>
      <c r="G15">
        <v>12.25</v>
      </c>
      <c r="H15">
        <v>600.25900000000001</v>
      </c>
      <c r="I15">
        <v>953.66200000000003</v>
      </c>
      <c r="J15">
        <v>353.40300000000002</v>
      </c>
      <c r="K15">
        <v>7</v>
      </c>
      <c r="L15">
        <v>-4.0000000000000001E-3</v>
      </c>
      <c r="M15">
        <v>1</v>
      </c>
      <c r="N15">
        <v>106</v>
      </c>
      <c r="O15">
        <v>37</v>
      </c>
      <c r="P15">
        <v>0</v>
      </c>
      <c r="Q15">
        <v>7.6280000000000001</v>
      </c>
      <c r="R15">
        <v>0.56999999999999995</v>
      </c>
      <c r="S15">
        <v>6.2679999999999998</v>
      </c>
      <c r="T15">
        <v>137.90100000000001</v>
      </c>
      <c r="U15">
        <v>9.6219999999999999</v>
      </c>
      <c r="V15">
        <v>144.32900000000001</v>
      </c>
      <c r="W15" t="s">
        <v>27</v>
      </c>
      <c r="X15" t="s">
        <v>28</v>
      </c>
      <c r="Y15" t="s">
        <v>41</v>
      </c>
      <c r="Z15" t="s">
        <v>45</v>
      </c>
    </row>
    <row r="16" spans="1:26" x14ac:dyDescent="0.25">
      <c r="A16" t="s">
        <v>26</v>
      </c>
      <c r="B16">
        <v>0</v>
      </c>
      <c r="C16">
        <v>2.3479999999999999</v>
      </c>
      <c r="D16">
        <v>-10.423999999999999</v>
      </c>
      <c r="E16">
        <v>-1.0489999999999999</v>
      </c>
      <c r="F16">
        <v>4.5739999999999998</v>
      </c>
      <c r="G16">
        <v>0.46</v>
      </c>
      <c r="H16">
        <v>376.47800000000001</v>
      </c>
      <c r="I16">
        <v>993.35799999999995</v>
      </c>
      <c r="J16">
        <v>616.88</v>
      </c>
      <c r="K16">
        <v>11</v>
      </c>
      <c r="L16">
        <v>-0.14899999999999999</v>
      </c>
      <c r="M16">
        <v>1</v>
      </c>
      <c r="N16">
        <v>106</v>
      </c>
      <c r="O16">
        <v>36</v>
      </c>
      <c r="P16">
        <v>0</v>
      </c>
      <c r="Q16">
        <v>1.694</v>
      </c>
      <c r="R16">
        <v>0.433</v>
      </c>
      <c r="S16">
        <v>-0.28499999999999998</v>
      </c>
      <c r="T16">
        <v>-5.1360000000000001</v>
      </c>
      <c r="U16">
        <v>3.673</v>
      </c>
      <c r="V16">
        <v>66.114999999999995</v>
      </c>
      <c r="W16" t="s">
        <v>27</v>
      </c>
      <c r="X16" t="s">
        <v>28</v>
      </c>
      <c r="Y16" t="s">
        <v>41</v>
      </c>
      <c r="Z16" t="s">
        <v>46</v>
      </c>
    </row>
    <row r="17" spans="1:26" x14ac:dyDescent="0.25">
      <c r="A17" t="s">
        <v>26</v>
      </c>
      <c r="B17">
        <v>0</v>
      </c>
      <c r="C17">
        <v>0.311</v>
      </c>
      <c r="D17">
        <v>-17.268999999999998</v>
      </c>
      <c r="E17">
        <v>-1.51</v>
      </c>
      <c r="F17">
        <v>-5.609</v>
      </c>
      <c r="G17">
        <v>-0.49</v>
      </c>
      <c r="H17">
        <v>658.077</v>
      </c>
      <c r="I17">
        <v>1143.663</v>
      </c>
      <c r="J17">
        <v>485.58600000000001</v>
      </c>
      <c r="K17">
        <v>3</v>
      </c>
      <c r="L17">
        <v>0</v>
      </c>
      <c r="M17">
        <v>0</v>
      </c>
      <c r="N17">
        <v>131</v>
      </c>
      <c r="O17">
        <v>38</v>
      </c>
      <c r="P17">
        <v>0</v>
      </c>
      <c r="Q17">
        <v>-1.6559999999999999</v>
      </c>
      <c r="R17">
        <v>0.60099999999999998</v>
      </c>
      <c r="S17">
        <v>-1.339</v>
      </c>
      <c r="T17">
        <v>-24.103000000000002</v>
      </c>
      <c r="U17">
        <v>-1.9410000000000001</v>
      </c>
      <c r="V17">
        <v>-38.823999999999998</v>
      </c>
      <c r="W17" t="s">
        <v>27</v>
      </c>
      <c r="X17" t="s">
        <v>47</v>
      </c>
      <c r="Y17" t="s">
        <v>29</v>
      </c>
      <c r="Z17" t="s">
        <v>48</v>
      </c>
    </row>
    <row r="18" spans="1:26" x14ac:dyDescent="0.25">
      <c r="A18" t="s">
        <v>26</v>
      </c>
      <c r="B18">
        <v>0</v>
      </c>
      <c r="C18">
        <v>0.65800000000000003</v>
      </c>
      <c r="D18">
        <v>-15.426</v>
      </c>
      <c r="E18">
        <v>-1.238</v>
      </c>
      <c r="F18">
        <v>4.2869999999999999</v>
      </c>
      <c r="G18">
        <v>0.34399999999999997</v>
      </c>
      <c r="H18">
        <v>651.59699999999998</v>
      </c>
      <c r="I18">
        <v>1246.2539999999999</v>
      </c>
      <c r="J18">
        <v>594.65700000000004</v>
      </c>
      <c r="K18">
        <v>2</v>
      </c>
      <c r="L18">
        <v>-0.378</v>
      </c>
      <c r="M18">
        <v>2</v>
      </c>
      <c r="N18">
        <v>131</v>
      </c>
      <c r="O18">
        <v>39</v>
      </c>
      <c r="P18">
        <v>0</v>
      </c>
      <c r="Q18">
        <v>-0.68500000000000005</v>
      </c>
      <c r="R18">
        <v>0.504</v>
      </c>
      <c r="S18">
        <v>-0.36799999999999999</v>
      </c>
      <c r="T18">
        <v>-8.0869999999999997</v>
      </c>
      <c r="U18">
        <v>-1.095</v>
      </c>
      <c r="V18">
        <v>-18.616</v>
      </c>
      <c r="W18" t="s">
        <v>27</v>
      </c>
      <c r="X18" t="s">
        <v>47</v>
      </c>
      <c r="Y18" t="s">
        <v>29</v>
      </c>
      <c r="Z18" t="s">
        <v>49</v>
      </c>
    </row>
    <row r="19" spans="1:26" x14ac:dyDescent="0.25">
      <c r="A19" t="s">
        <v>26</v>
      </c>
      <c r="B19">
        <v>0</v>
      </c>
      <c r="C19">
        <v>-9.1999999999999998E-2</v>
      </c>
      <c r="D19">
        <v>-21.541</v>
      </c>
      <c r="E19">
        <v>-2.0379999999999998</v>
      </c>
      <c r="F19">
        <v>-13.897</v>
      </c>
      <c r="G19">
        <v>-1.3149999999999999</v>
      </c>
      <c r="H19">
        <v>554.63199999999995</v>
      </c>
      <c r="I19">
        <v>1056.6869999999999</v>
      </c>
      <c r="J19">
        <v>502.05599999999998</v>
      </c>
      <c r="K19">
        <v>3</v>
      </c>
      <c r="L19">
        <v>7.1999999999999995E-2</v>
      </c>
      <c r="M19">
        <v>1</v>
      </c>
      <c r="N19">
        <v>131</v>
      </c>
      <c r="O19">
        <v>28</v>
      </c>
      <c r="P19">
        <v>0</v>
      </c>
      <c r="Q19">
        <v>-1.1870000000000001</v>
      </c>
      <c r="R19">
        <v>0.52900000000000003</v>
      </c>
      <c r="S19">
        <v>0.35599999999999998</v>
      </c>
      <c r="T19">
        <v>4.633</v>
      </c>
      <c r="U19">
        <v>-2.5249999999999999</v>
      </c>
      <c r="V19">
        <v>-37.871000000000002</v>
      </c>
      <c r="W19" t="s">
        <v>27</v>
      </c>
      <c r="X19" t="s">
        <v>47</v>
      </c>
      <c r="Y19" t="s">
        <v>29</v>
      </c>
      <c r="Z19" t="s">
        <v>50</v>
      </c>
    </row>
    <row r="20" spans="1:26" x14ac:dyDescent="0.25">
      <c r="A20" t="s">
        <v>26</v>
      </c>
      <c r="B20">
        <v>0</v>
      </c>
      <c r="C20">
        <v>-2.7E-2</v>
      </c>
      <c r="D20">
        <v>-26.343</v>
      </c>
      <c r="E20">
        <v>-2.258</v>
      </c>
      <c r="F20">
        <v>-16.440999999999999</v>
      </c>
      <c r="G20">
        <v>-1.409</v>
      </c>
      <c r="H20">
        <v>865.89</v>
      </c>
      <c r="I20">
        <v>1166.663</v>
      </c>
      <c r="J20">
        <v>300.774</v>
      </c>
      <c r="K20">
        <v>2</v>
      </c>
      <c r="L20">
        <v>2.4E-2</v>
      </c>
      <c r="M20">
        <v>1</v>
      </c>
      <c r="N20">
        <v>131</v>
      </c>
      <c r="O20">
        <v>34</v>
      </c>
      <c r="P20">
        <v>0</v>
      </c>
      <c r="Q20">
        <v>-1.4570000000000001</v>
      </c>
      <c r="R20">
        <v>0.5</v>
      </c>
      <c r="S20">
        <v>-2.2770000000000001</v>
      </c>
      <c r="T20">
        <v>-40.98</v>
      </c>
      <c r="U20">
        <v>-0.53400000000000003</v>
      </c>
      <c r="V20">
        <v>-8.548</v>
      </c>
      <c r="W20" t="s">
        <v>27</v>
      </c>
      <c r="X20" t="s">
        <v>47</v>
      </c>
      <c r="Y20" t="s">
        <v>29</v>
      </c>
      <c r="Z20" t="s">
        <v>51</v>
      </c>
    </row>
    <row r="21" spans="1:26" x14ac:dyDescent="0.25">
      <c r="A21" t="s">
        <v>26</v>
      </c>
      <c r="B21">
        <v>0</v>
      </c>
      <c r="C21">
        <v>0.9</v>
      </c>
      <c r="D21">
        <v>-15.920999999999999</v>
      </c>
      <c r="E21">
        <v>-1.149</v>
      </c>
      <c r="F21">
        <v>5.4470000000000001</v>
      </c>
      <c r="G21">
        <v>0.39300000000000002</v>
      </c>
      <c r="H21">
        <v>721.22799999999995</v>
      </c>
      <c r="I21">
        <v>1385.6579999999999</v>
      </c>
      <c r="J21">
        <v>664.43100000000004</v>
      </c>
      <c r="K21">
        <v>4</v>
      </c>
      <c r="L21">
        <v>-0.44400000000000001</v>
      </c>
      <c r="M21">
        <v>5</v>
      </c>
      <c r="N21">
        <v>131</v>
      </c>
      <c r="O21">
        <v>41</v>
      </c>
      <c r="P21">
        <v>0</v>
      </c>
      <c r="Q21">
        <v>-1.097</v>
      </c>
      <c r="R21">
        <v>0.36599999999999999</v>
      </c>
      <c r="S21">
        <v>-0.80900000000000005</v>
      </c>
      <c r="T21">
        <v>-15.372999999999999</v>
      </c>
      <c r="U21">
        <v>-1.3460000000000001</v>
      </c>
      <c r="V21">
        <v>-29.606999999999999</v>
      </c>
      <c r="W21" t="s">
        <v>27</v>
      </c>
      <c r="X21" t="s">
        <v>47</v>
      </c>
      <c r="Y21" t="s">
        <v>29</v>
      </c>
      <c r="Z21" t="s">
        <v>52</v>
      </c>
    </row>
    <row r="22" spans="1:26" x14ac:dyDescent="0.25">
      <c r="A22" t="s">
        <v>26</v>
      </c>
      <c r="B22">
        <v>0</v>
      </c>
      <c r="C22">
        <v>1.242</v>
      </c>
      <c r="D22">
        <v>-18.489999999999998</v>
      </c>
      <c r="E22">
        <v>-1.3460000000000001</v>
      </c>
      <c r="F22">
        <v>2.2650000000000001</v>
      </c>
      <c r="G22">
        <v>0.16500000000000001</v>
      </c>
      <c r="H22">
        <v>910.68399999999997</v>
      </c>
      <c r="I22">
        <v>1374.144</v>
      </c>
      <c r="J22">
        <v>463.46</v>
      </c>
      <c r="K22">
        <v>10</v>
      </c>
      <c r="L22">
        <v>0</v>
      </c>
      <c r="M22">
        <v>0</v>
      </c>
      <c r="N22">
        <v>120</v>
      </c>
      <c r="O22">
        <v>46</v>
      </c>
      <c r="P22">
        <v>0</v>
      </c>
      <c r="Q22">
        <v>0.57899999999999996</v>
      </c>
      <c r="R22">
        <v>0.56200000000000006</v>
      </c>
      <c r="S22">
        <v>0.51700000000000002</v>
      </c>
      <c r="T22">
        <v>13.442</v>
      </c>
      <c r="U22">
        <v>0.65900000000000003</v>
      </c>
      <c r="V22">
        <v>13.173</v>
      </c>
      <c r="W22" t="s">
        <v>27</v>
      </c>
      <c r="X22" t="s">
        <v>47</v>
      </c>
      <c r="Y22" t="s">
        <v>35</v>
      </c>
      <c r="Z22" t="s">
        <v>53</v>
      </c>
    </row>
    <row r="23" spans="1:26" x14ac:dyDescent="0.25">
      <c r="A23" t="s">
        <v>26</v>
      </c>
      <c r="B23">
        <v>0</v>
      </c>
      <c r="C23">
        <v>0.60399999999999998</v>
      </c>
      <c r="D23">
        <v>-7.726</v>
      </c>
      <c r="E23">
        <v>-0.72299999999999998</v>
      </c>
      <c r="F23">
        <v>8.5500000000000007</v>
      </c>
      <c r="G23">
        <v>0.8</v>
      </c>
      <c r="H23">
        <v>739.005</v>
      </c>
      <c r="I23">
        <v>1068.1849999999999</v>
      </c>
      <c r="J23">
        <v>329.18099999999998</v>
      </c>
      <c r="K23">
        <v>5</v>
      </c>
      <c r="L23">
        <v>-0.32200000000000001</v>
      </c>
      <c r="M23">
        <v>3</v>
      </c>
      <c r="N23">
        <v>120</v>
      </c>
      <c r="O23">
        <v>35</v>
      </c>
      <c r="P23">
        <v>0</v>
      </c>
      <c r="Q23">
        <v>-6.7000000000000004E-2</v>
      </c>
      <c r="R23">
        <v>0.33</v>
      </c>
      <c r="S23">
        <v>-0.91</v>
      </c>
      <c r="T23">
        <v>-19.114999999999998</v>
      </c>
      <c r="U23">
        <v>1.1970000000000001</v>
      </c>
      <c r="V23">
        <v>16.763999999999999</v>
      </c>
      <c r="W23" t="s">
        <v>27</v>
      </c>
      <c r="X23" t="s">
        <v>47</v>
      </c>
      <c r="Y23" t="s">
        <v>35</v>
      </c>
      <c r="Z23" t="s">
        <v>54</v>
      </c>
    </row>
    <row r="24" spans="1:26" x14ac:dyDescent="0.25">
      <c r="A24" t="s">
        <v>26</v>
      </c>
      <c r="B24">
        <v>0</v>
      </c>
      <c r="C24">
        <v>0.22500000000000001</v>
      </c>
      <c r="D24">
        <v>-1.4870000000000001</v>
      </c>
      <c r="E24">
        <v>-0.17100000000000001</v>
      </c>
      <c r="F24">
        <v>11.170999999999999</v>
      </c>
      <c r="G24">
        <v>1.284</v>
      </c>
      <c r="H24">
        <v>746.65700000000004</v>
      </c>
      <c r="I24">
        <v>870.20699999999999</v>
      </c>
      <c r="J24">
        <v>123.55</v>
      </c>
      <c r="K24">
        <v>3</v>
      </c>
      <c r="L24">
        <v>-0.126</v>
      </c>
      <c r="M24">
        <v>1</v>
      </c>
      <c r="N24">
        <v>120</v>
      </c>
      <c r="O24">
        <v>24</v>
      </c>
      <c r="P24">
        <v>0</v>
      </c>
      <c r="Q24">
        <v>-9.1999999999999998E-2</v>
      </c>
      <c r="R24">
        <v>0.44400000000000001</v>
      </c>
      <c r="S24">
        <v>-1.1040000000000001</v>
      </c>
      <c r="T24">
        <v>-14.353999999999999</v>
      </c>
      <c r="U24">
        <v>1.105</v>
      </c>
      <c r="V24">
        <v>12.151</v>
      </c>
      <c r="W24" t="s">
        <v>27</v>
      </c>
      <c r="X24" t="s">
        <v>47</v>
      </c>
      <c r="Y24" t="s">
        <v>35</v>
      </c>
      <c r="Z24" t="s">
        <v>55</v>
      </c>
    </row>
    <row r="25" spans="1:26" x14ac:dyDescent="0.25">
      <c r="A25" t="s">
        <v>26</v>
      </c>
      <c r="B25">
        <v>0</v>
      </c>
      <c r="C25">
        <v>1.6779999999999999</v>
      </c>
      <c r="D25">
        <v>11.896000000000001</v>
      </c>
      <c r="E25">
        <v>1.3169999999999999</v>
      </c>
      <c r="F25">
        <v>28.648</v>
      </c>
      <c r="G25">
        <v>3.1720000000000002</v>
      </c>
      <c r="H25">
        <v>640.19000000000005</v>
      </c>
      <c r="I25">
        <v>903.13499999999999</v>
      </c>
      <c r="J25">
        <v>262.94499999999999</v>
      </c>
      <c r="K25">
        <v>2</v>
      </c>
      <c r="L25">
        <v>-3.2000000000000001E-2</v>
      </c>
      <c r="M25">
        <v>1</v>
      </c>
      <c r="N25">
        <v>120</v>
      </c>
      <c r="O25">
        <v>30</v>
      </c>
      <c r="P25">
        <v>0</v>
      </c>
      <c r="Q25">
        <v>0.34499999999999997</v>
      </c>
      <c r="R25">
        <v>0.66500000000000004</v>
      </c>
      <c r="S25">
        <v>-0.42899999999999999</v>
      </c>
      <c r="T25">
        <v>-6.8710000000000004</v>
      </c>
      <c r="U25">
        <v>1.2290000000000001</v>
      </c>
      <c r="V25">
        <v>17.213000000000001</v>
      </c>
      <c r="W25" t="s">
        <v>27</v>
      </c>
      <c r="X25" t="s">
        <v>47</v>
      </c>
      <c r="Y25" t="s">
        <v>35</v>
      </c>
      <c r="Z25" t="s">
        <v>56</v>
      </c>
    </row>
    <row r="26" spans="1:26" x14ac:dyDescent="0.25">
      <c r="A26" t="s">
        <v>26</v>
      </c>
      <c r="B26">
        <v>0</v>
      </c>
      <c r="C26">
        <v>0.86699999999999999</v>
      </c>
      <c r="D26">
        <v>-15.297000000000001</v>
      </c>
      <c r="E26">
        <v>-1.629</v>
      </c>
      <c r="F26">
        <v>-5.9429999999999996</v>
      </c>
      <c r="G26">
        <v>-0.63300000000000001</v>
      </c>
      <c r="H26">
        <v>645.64599999999996</v>
      </c>
      <c r="I26">
        <v>938.87</v>
      </c>
      <c r="J26">
        <v>293.22399999999999</v>
      </c>
      <c r="K26">
        <v>0</v>
      </c>
      <c r="L26">
        <v>0.29399999999999998</v>
      </c>
      <c r="M26">
        <v>2</v>
      </c>
      <c r="N26">
        <v>120</v>
      </c>
      <c r="O26">
        <v>28</v>
      </c>
      <c r="P26">
        <v>0</v>
      </c>
      <c r="Q26">
        <v>-0.91600000000000004</v>
      </c>
      <c r="R26">
        <v>0.40500000000000003</v>
      </c>
      <c r="S26">
        <v>-1.4750000000000001</v>
      </c>
      <c r="T26">
        <v>-23.594000000000001</v>
      </c>
      <c r="U26">
        <v>-0.17100000000000001</v>
      </c>
      <c r="V26">
        <v>-2.0550000000000002</v>
      </c>
      <c r="W26" t="s">
        <v>27</v>
      </c>
      <c r="X26" t="s">
        <v>47</v>
      </c>
      <c r="Y26" t="s">
        <v>35</v>
      </c>
      <c r="Z26" t="s">
        <v>57</v>
      </c>
    </row>
    <row r="27" spans="1:26" x14ac:dyDescent="0.25">
      <c r="A27" t="s">
        <v>26</v>
      </c>
      <c r="B27">
        <v>0</v>
      </c>
      <c r="C27">
        <v>0.27800000000000002</v>
      </c>
      <c r="D27">
        <v>-10.284000000000001</v>
      </c>
      <c r="E27">
        <v>-1.159</v>
      </c>
      <c r="F27">
        <v>2.3029999999999999</v>
      </c>
      <c r="G27">
        <v>0.26</v>
      </c>
      <c r="H27">
        <v>572.87</v>
      </c>
      <c r="I27">
        <v>887.50699999999995</v>
      </c>
      <c r="J27">
        <v>314.63600000000002</v>
      </c>
      <c r="K27">
        <v>4</v>
      </c>
      <c r="L27">
        <v>-0.313</v>
      </c>
      <c r="M27">
        <v>1</v>
      </c>
      <c r="N27">
        <v>123</v>
      </c>
      <c r="O27">
        <v>26</v>
      </c>
      <c r="P27">
        <v>0</v>
      </c>
      <c r="Q27">
        <v>-1.032</v>
      </c>
      <c r="R27">
        <v>0.35299999999999998</v>
      </c>
      <c r="S27">
        <v>-0.79200000000000004</v>
      </c>
      <c r="T27">
        <v>-11.089</v>
      </c>
      <c r="U27">
        <v>-1.3109999999999999</v>
      </c>
      <c r="V27">
        <v>-15.731</v>
      </c>
      <c r="W27" t="s">
        <v>27</v>
      </c>
      <c r="X27" t="s">
        <v>47</v>
      </c>
      <c r="Y27" t="s">
        <v>41</v>
      </c>
      <c r="Z27" t="s">
        <v>58</v>
      </c>
    </row>
    <row r="28" spans="1:26" x14ac:dyDescent="0.25">
      <c r="A28" t="s">
        <v>26</v>
      </c>
      <c r="B28">
        <v>0</v>
      </c>
      <c r="C28">
        <v>1.4990000000000001</v>
      </c>
      <c r="D28">
        <v>2.8039999999999998</v>
      </c>
      <c r="E28">
        <v>0.17100000000000001</v>
      </c>
      <c r="F28">
        <v>32.994</v>
      </c>
      <c r="G28">
        <v>2.0179999999999998</v>
      </c>
      <c r="H28">
        <v>1053.134</v>
      </c>
      <c r="I28">
        <v>1635.212</v>
      </c>
      <c r="J28">
        <v>582.07799999999997</v>
      </c>
      <c r="K28">
        <v>1</v>
      </c>
      <c r="L28">
        <v>-0.09</v>
      </c>
      <c r="M28">
        <v>4</v>
      </c>
      <c r="N28">
        <v>123</v>
      </c>
      <c r="O28">
        <v>54</v>
      </c>
      <c r="P28">
        <v>0</v>
      </c>
      <c r="Q28">
        <v>0.27200000000000002</v>
      </c>
      <c r="R28">
        <v>0.48399999999999999</v>
      </c>
      <c r="S28">
        <v>-0.50700000000000001</v>
      </c>
      <c r="T28">
        <v>-14.695</v>
      </c>
      <c r="U28">
        <v>1.1759999999999999</v>
      </c>
      <c r="V28">
        <v>29.395</v>
      </c>
      <c r="W28" t="s">
        <v>27</v>
      </c>
      <c r="X28" t="s">
        <v>47</v>
      </c>
      <c r="Y28" t="s">
        <v>41</v>
      </c>
      <c r="Z28" t="s">
        <v>59</v>
      </c>
    </row>
    <row r="29" spans="1:26" x14ac:dyDescent="0.25">
      <c r="A29" t="s">
        <v>26</v>
      </c>
      <c r="B29">
        <v>0</v>
      </c>
      <c r="C29">
        <v>1.456</v>
      </c>
      <c r="D29">
        <v>39.54</v>
      </c>
      <c r="E29">
        <v>3.1669999999999998</v>
      </c>
      <c r="F29">
        <v>51.212000000000003</v>
      </c>
      <c r="G29">
        <v>4.1020000000000003</v>
      </c>
      <c r="H29">
        <v>711.80399999999997</v>
      </c>
      <c r="I29">
        <v>1248.502</v>
      </c>
      <c r="J29">
        <v>536.69799999999998</v>
      </c>
      <c r="K29">
        <v>2</v>
      </c>
      <c r="L29">
        <v>-3.4000000000000002E-2</v>
      </c>
      <c r="M29">
        <v>2</v>
      </c>
      <c r="N29">
        <v>123</v>
      </c>
      <c r="O29">
        <v>45</v>
      </c>
      <c r="P29">
        <v>0</v>
      </c>
      <c r="Q29">
        <v>1.619</v>
      </c>
      <c r="R29">
        <v>0.47899999999999998</v>
      </c>
      <c r="S29">
        <v>1.7669999999999999</v>
      </c>
      <c r="T29">
        <v>38.883000000000003</v>
      </c>
      <c r="U29">
        <v>1.4770000000000001</v>
      </c>
      <c r="V29">
        <v>33.963999999999999</v>
      </c>
      <c r="W29" t="s">
        <v>27</v>
      </c>
      <c r="X29" t="s">
        <v>47</v>
      </c>
      <c r="Y29" t="s">
        <v>41</v>
      </c>
      <c r="Z29" t="s">
        <v>60</v>
      </c>
    </row>
    <row r="30" spans="1:26" x14ac:dyDescent="0.25">
      <c r="A30" t="s">
        <v>26</v>
      </c>
      <c r="B30">
        <v>0</v>
      </c>
      <c r="C30">
        <v>0.95799999999999996</v>
      </c>
      <c r="D30">
        <v>-14.785</v>
      </c>
      <c r="E30">
        <v>-1.2390000000000001</v>
      </c>
      <c r="F30">
        <v>-6.6150000000000002</v>
      </c>
      <c r="G30">
        <v>-0.55400000000000005</v>
      </c>
      <c r="H30">
        <v>873.37</v>
      </c>
      <c r="I30">
        <v>1193.5509999999999</v>
      </c>
      <c r="J30">
        <v>320.18099999999998</v>
      </c>
      <c r="K30">
        <v>5</v>
      </c>
      <c r="L30">
        <v>0</v>
      </c>
      <c r="M30">
        <v>0</v>
      </c>
      <c r="N30">
        <v>123</v>
      </c>
      <c r="O30">
        <v>42</v>
      </c>
      <c r="P30">
        <v>0</v>
      </c>
      <c r="Q30">
        <v>-0.53300000000000003</v>
      </c>
      <c r="R30">
        <v>0.443</v>
      </c>
      <c r="S30">
        <v>-0.94499999999999995</v>
      </c>
      <c r="T30">
        <v>-18.89</v>
      </c>
      <c r="U30">
        <v>-0.159</v>
      </c>
      <c r="V30">
        <v>-3.488</v>
      </c>
      <c r="W30" t="s">
        <v>27</v>
      </c>
      <c r="X30" t="s">
        <v>47</v>
      </c>
      <c r="Y30" t="s">
        <v>41</v>
      </c>
      <c r="Z30" t="s">
        <v>61</v>
      </c>
    </row>
    <row r="31" spans="1:26" x14ac:dyDescent="0.25">
      <c r="A31" t="s">
        <v>26</v>
      </c>
      <c r="B31">
        <v>0</v>
      </c>
      <c r="C31">
        <v>1.4019999999999999</v>
      </c>
      <c r="D31">
        <v>25.105</v>
      </c>
      <c r="E31">
        <v>2.327</v>
      </c>
      <c r="F31">
        <v>35.679000000000002</v>
      </c>
      <c r="G31">
        <v>3.3069999999999999</v>
      </c>
      <c r="H31">
        <v>672.68399999999997</v>
      </c>
      <c r="I31">
        <v>1078.7639999999999</v>
      </c>
      <c r="J31">
        <v>406.08</v>
      </c>
      <c r="K31">
        <v>2</v>
      </c>
      <c r="L31">
        <v>-5.6000000000000001E-2</v>
      </c>
      <c r="M31">
        <v>3</v>
      </c>
      <c r="N31">
        <v>123</v>
      </c>
      <c r="O31">
        <v>39</v>
      </c>
      <c r="P31">
        <v>0</v>
      </c>
      <c r="Q31">
        <v>1.1240000000000001</v>
      </c>
      <c r="R31">
        <v>0.626</v>
      </c>
      <c r="S31">
        <v>0.46899999999999997</v>
      </c>
      <c r="T31">
        <v>8.9190000000000005</v>
      </c>
      <c r="U31">
        <v>1.7450000000000001</v>
      </c>
      <c r="V31">
        <v>34.9</v>
      </c>
      <c r="W31" t="s">
        <v>27</v>
      </c>
      <c r="X31" t="s">
        <v>47</v>
      </c>
      <c r="Y31" t="s">
        <v>41</v>
      </c>
      <c r="Z31" t="s">
        <v>62</v>
      </c>
    </row>
    <row r="32" spans="1:26" x14ac:dyDescent="0.25">
      <c r="A32" t="s">
        <v>63</v>
      </c>
      <c r="B32">
        <v>0</v>
      </c>
      <c r="C32">
        <v>0.34399999999999997</v>
      </c>
      <c r="D32">
        <v>11.831</v>
      </c>
      <c r="E32">
        <v>0.55000000000000004</v>
      </c>
      <c r="F32">
        <v>80.113</v>
      </c>
      <c r="G32">
        <v>3.7240000000000002</v>
      </c>
      <c r="H32">
        <v>1124.5039999999999</v>
      </c>
      <c r="I32">
        <v>2151.4940000000001</v>
      </c>
      <c r="J32">
        <v>1026.99</v>
      </c>
      <c r="K32">
        <v>33</v>
      </c>
      <c r="L32">
        <v>-1E-3</v>
      </c>
      <c r="M32">
        <v>1</v>
      </c>
      <c r="N32">
        <v>114</v>
      </c>
      <c r="O32">
        <v>66</v>
      </c>
      <c r="P32">
        <v>0</v>
      </c>
      <c r="Q32">
        <v>1.139</v>
      </c>
      <c r="R32">
        <v>0.60199999999999998</v>
      </c>
      <c r="S32">
        <v>-1.605</v>
      </c>
      <c r="T32">
        <v>-52.962000000000003</v>
      </c>
      <c r="U32">
        <v>3.883</v>
      </c>
      <c r="V32">
        <v>128.13300000000001</v>
      </c>
      <c r="W32">
        <v>-49.1</v>
      </c>
      <c r="X32" t="s">
        <v>28</v>
      </c>
      <c r="Y32" t="s">
        <v>29</v>
      </c>
      <c r="Z32" t="s">
        <v>64</v>
      </c>
    </row>
    <row r="33" spans="1:26" x14ac:dyDescent="0.25">
      <c r="A33" t="s">
        <v>63</v>
      </c>
      <c r="B33">
        <v>0</v>
      </c>
      <c r="C33">
        <v>2.13</v>
      </c>
      <c r="D33">
        <v>199.774</v>
      </c>
      <c r="E33">
        <v>9.6890000000000001</v>
      </c>
      <c r="F33">
        <v>313.05599999999998</v>
      </c>
      <c r="G33">
        <v>15.182</v>
      </c>
      <c r="H33">
        <v>1197.693</v>
      </c>
      <c r="I33">
        <v>2061.953</v>
      </c>
      <c r="J33">
        <v>864.26</v>
      </c>
      <c r="K33">
        <v>26</v>
      </c>
      <c r="L33">
        <v>-7.0000000000000001E-3</v>
      </c>
      <c r="M33">
        <v>2</v>
      </c>
      <c r="N33">
        <v>114</v>
      </c>
      <c r="O33">
        <v>68</v>
      </c>
      <c r="P33">
        <v>0</v>
      </c>
      <c r="Q33">
        <v>4.532</v>
      </c>
      <c r="R33">
        <v>0.48199999999999998</v>
      </c>
      <c r="S33">
        <v>1.1850000000000001</v>
      </c>
      <c r="T33">
        <v>41.475000000000001</v>
      </c>
      <c r="U33">
        <v>8.0820000000000007</v>
      </c>
      <c r="V33">
        <v>266.71600000000001</v>
      </c>
      <c r="W33">
        <v>-48.6</v>
      </c>
      <c r="X33" t="s">
        <v>28</v>
      </c>
      <c r="Y33" t="s">
        <v>29</v>
      </c>
      <c r="Z33" t="s">
        <v>65</v>
      </c>
    </row>
    <row r="34" spans="1:26" x14ac:dyDescent="0.25">
      <c r="A34" t="s">
        <v>63</v>
      </c>
      <c r="B34">
        <v>0</v>
      </c>
      <c r="C34">
        <v>0.61599999999999999</v>
      </c>
      <c r="D34">
        <v>75.165999999999997</v>
      </c>
      <c r="E34">
        <v>2.9980000000000002</v>
      </c>
      <c r="F34">
        <v>166.84200000000001</v>
      </c>
      <c r="G34">
        <v>6.6539999999999999</v>
      </c>
      <c r="H34">
        <v>1479.9860000000001</v>
      </c>
      <c r="I34">
        <v>2507.4229999999998</v>
      </c>
      <c r="J34">
        <v>1027.4369999999999</v>
      </c>
      <c r="K34">
        <v>9</v>
      </c>
      <c r="L34">
        <v>-5.0000000000000001E-3</v>
      </c>
      <c r="M34">
        <v>1</v>
      </c>
      <c r="N34">
        <v>114</v>
      </c>
      <c r="O34">
        <v>77</v>
      </c>
      <c r="P34">
        <v>0</v>
      </c>
      <c r="Q34">
        <v>1.776</v>
      </c>
      <c r="R34">
        <v>0.56200000000000006</v>
      </c>
      <c r="S34">
        <v>-1.127</v>
      </c>
      <c r="T34">
        <v>-47.317</v>
      </c>
      <c r="U34">
        <v>5.26</v>
      </c>
      <c r="V34">
        <v>184.08600000000001</v>
      </c>
      <c r="W34">
        <v>-48.4</v>
      </c>
      <c r="X34" t="s">
        <v>28</v>
      </c>
      <c r="Y34" t="s">
        <v>29</v>
      </c>
      <c r="Z34" t="s">
        <v>66</v>
      </c>
    </row>
    <row r="35" spans="1:26" x14ac:dyDescent="0.25">
      <c r="A35" t="s">
        <v>63</v>
      </c>
      <c r="B35">
        <v>0</v>
      </c>
      <c r="C35">
        <v>2.4249999999999998</v>
      </c>
      <c r="D35">
        <v>82.350999999999999</v>
      </c>
      <c r="E35">
        <v>5.3440000000000003</v>
      </c>
      <c r="F35">
        <v>97.454999999999998</v>
      </c>
      <c r="G35">
        <v>6.3239999999999998</v>
      </c>
      <c r="H35">
        <v>968.48699999999997</v>
      </c>
      <c r="I35">
        <v>1541.1089999999999</v>
      </c>
      <c r="J35">
        <v>572.62099999999998</v>
      </c>
      <c r="K35">
        <v>1</v>
      </c>
      <c r="L35">
        <v>0</v>
      </c>
      <c r="M35">
        <v>0</v>
      </c>
      <c r="N35">
        <v>114</v>
      </c>
      <c r="O35">
        <v>51</v>
      </c>
      <c r="P35">
        <v>0</v>
      </c>
      <c r="Q35">
        <v>1.357</v>
      </c>
      <c r="R35">
        <v>0.61299999999999999</v>
      </c>
      <c r="S35">
        <v>-0.374</v>
      </c>
      <c r="T35">
        <v>-9.7219999999999995</v>
      </c>
      <c r="U35">
        <v>3.1579999999999999</v>
      </c>
      <c r="V35">
        <v>78.953999999999994</v>
      </c>
      <c r="W35">
        <v>-47</v>
      </c>
      <c r="X35" t="s">
        <v>28</v>
      </c>
      <c r="Y35" t="s">
        <v>29</v>
      </c>
      <c r="Z35" t="s">
        <v>67</v>
      </c>
    </row>
    <row r="36" spans="1:26" x14ac:dyDescent="0.25">
      <c r="A36" t="s">
        <v>63</v>
      </c>
      <c r="B36">
        <v>0</v>
      </c>
      <c r="C36">
        <v>-0.13600000000000001</v>
      </c>
      <c r="D36">
        <v>27.83</v>
      </c>
      <c r="E36">
        <v>1.3859999999999999</v>
      </c>
      <c r="F36">
        <v>71.048000000000002</v>
      </c>
      <c r="G36">
        <v>3.5379999999999998</v>
      </c>
      <c r="H36">
        <v>1009.929</v>
      </c>
      <c r="I36">
        <v>2008.0409999999999</v>
      </c>
      <c r="J36">
        <v>998.11300000000006</v>
      </c>
      <c r="K36">
        <v>21</v>
      </c>
      <c r="L36">
        <v>-1.9E-2</v>
      </c>
      <c r="M36">
        <v>4</v>
      </c>
      <c r="N36">
        <v>114</v>
      </c>
      <c r="O36">
        <v>66</v>
      </c>
      <c r="P36">
        <v>0</v>
      </c>
      <c r="Q36">
        <v>0.74199999999999999</v>
      </c>
      <c r="R36">
        <v>0.57199999999999995</v>
      </c>
      <c r="S36">
        <v>-1.6579999999999999</v>
      </c>
      <c r="T36">
        <v>-54.725999999999999</v>
      </c>
      <c r="U36">
        <v>3.1429999999999998</v>
      </c>
      <c r="V36">
        <v>103.727</v>
      </c>
      <c r="W36">
        <v>-46.9</v>
      </c>
      <c r="X36" t="s">
        <v>28</v>
      </c>
      <c r="Y36" t="s">
        <v>29</v>
      </c>
      <c r="Z36" t="s">
        <v>68</v>
      </c>
    </row>
    <row r="37" spans="1:26" x14ac:dyDescent="0.25">
      <c r="A37" t="s">
        <v>63</v>
      </c>
      <c r="B37">
        <v>0</v>
      </c>
      <c r="C37">
        <v>3.7469999999999999</v>
      </c>
      <c r="D37">
        <v>84.983999999999995</v>
      </c>
      <c r="E37">
        <v>5.7060000000000004</v>
      </c>
      <c r="F37">
        <v>123.842</v>
      </c>
      <c r="G37">
        <v>8.3149999999999995</v>
      </c>
      <c r="H37">
        <v>753.745</v>
      </c>
      <c r="I37">
        <v>1489.4459999999999</v>
      </c>
      <c r="J37">
        <v>735.70100000000002</v>
      </c>
      <c r="K37">
        <v>7</v>
      </c>
      <c r="L37">
        <v>-2.7E-2</v>
      </c>
      <c r="M37">
        <v>5</v>
      </c>
      <c r="N37">
        <v>114</v>
      </c>
      <c r="O37">
        <v>47</v>
      </c>
      <c r="P37">
        <v>0</v>
      </c>
      <c r="Q37">
        <v>5.7069999999999999</v>
      </c>
      <c r="R37">
        <v>0.56799999999999995</v>
      </c>
      <c r="S37">
        <v>2E-3</v>
      </c>
      <c r="T37">
        <v>4.1000000000000002E-2</v>
      </c>
      <c r="U37">
        <v>11.175000000000001</v>
      </c>
      <c r="V37">
        <v>268.2</v>
      </c>
      <c r="W37">
        <v>-46.8</v>
      </c>
      <c r="X37" t="s">
        <v>28</v>
      </c>
      <c r="Y37" t="s">
        <v>29</v>
      </c>
      <c r="Z37" t="s">
        <v>69</v>
      </c>
    </row>
    <row r="38" spans="1:26" x14ac:dyDescent="0.25">
      <c r="A38" t="s">
        <v>63</v>
      </c>
      <c r="B38">
        <v>0</v>
      </c>
      <c r="C38">
        <v>-8.4000000000000005E-2</v>
      </c>
      <c r="D38">
        <v>20.143999999999998</v>
      </c>
      <c r="E38">
        <v>1.0249999999999999</v>
      </c>
      <c r="F38">
        <v>49.292999999999999</v>
      </c>
      <c r="G38">
        <v>2.5089999999999999</v>
      </c>
      <c r="H38">
        <v>989.553</v>
      </c>
      <c r="I38">
        <v>1964.886</v>
      </c>
      <c r="J38">
        <v>975.33299999999997</v>
      </c>
      <c r="K38">
        <v>15</v>
      </c>
      <c r="L38">
        <v>-0.05</v>
      </c>
      <c r="M38">
        <v>5</v>
      </c>
      <c r="N38">
        <v>114</v>
      </c>
      <c r="O38">
        <v>60</v>
      </c>
      <c r="P38">
        <v>0</v>
      </c>
      <c r="Q38">
        <v>0.748</v>
      </c>
      <c r="R38">
        <v>0.54500000000000004</v>
      </c>
      <c r="S38">
        <v>-1.171</v>
      </c>
      <c r="T38">
        <v>-31.609000000000002</v>
      </c>
      <c r="U38">
        <v>2.3180000000000001</v>
      </c>
      <c r="V38">
        <v>76.481999999999999</v>
      </c>
      <c r="W38">
        <v>-46.5</v>
      </c>
      <c r="X38" t="s">
        <v>28</v>
      </c>
      <c r="Y38" t="s">
        <v>29</v>
      </c>
      <c r="Z38" t="s">
        <v>70</v>
      </c>
    </row>
    <row r="39" spans="1:26" x14ac:dyDescent="0.25">
      <c r="A39" t="s">
        <v>63</v>
      </c>
      <c r="B39">
        <v>0</v>
      </c>
      <c r="C39">
        <v>3.2480000000000002</v>
      </c>
      <c r="D39">
        <v>89.228999999999999</v>
      </c>
      <c r="E39">
        <v>5.4219999999999997</v>
      </c>
      <c r="F39">
        <v>123.529</v>
      </c>
      <c r="G39">
        <v>7.5060000000000002</v>
      </c>
      <c r="H39">
        <v>931.61</v>
      </c>
      <c r="I39">
        <v>1645.6320000000001</v>
      </c>
      <c r="J39">
        <v>714.02200000000005</v>
      </c>
      <c r="K39">
        <v>7</v>
      </c>
      <c r="L39">
        <v>-1.7000000000000001E-2</v>
      </c>
      <c r="M39">
        <v>4</v>
      </c>
      <c r="N39">
        <v>114</v>
      </c>
      <c r="O39">
        <v>53</v>
      </c>
      <c r="P39">
        <v>0</v>
      </c>
      <c r="Q39">
        <v>1.9359999999999999</v>
      </c>
      <c r="R39">
        <v>0.58699999999999997</v>
      </c>
      <c r="S39">
        <v>-0.38800000000000001</v>
      </c>
      <c r="T39">
        <v>-10.478999999999999</v>
      </c>
      <c r="U39">
        <v>4.3499999999999996</v>
      </c>
      <c r="V39">
        <v>113.1</v>
      </c>
      <c r="W39">
        <v>-46.3</v>
      </c>
      <c r="X39" t="s">
        <v>28</v>
      </c>
      <c r="Y39" t="s">
        <v>29</v>
      </c>
      <c r="Z39" t="s">
        <v>71</v>
      </c>
    </row>
    <row r="40" spans="1:26" x14ac:dyDescent="0.25">
      <c r="A40" t="s">
        <v>63</v>
      </c>
      <c r="B40">
        <v>0</v>
      </c>
      <c r="C40">
        <v>1.181</v>
      </c>
      <c r="D40">
        <v>-13.055999999999999</v>
      </c>
      <c r="E40">
        <v>-0.77900000000000003</v>
      </c>
      <c r="F40">
        <v>1.64</v>
      </c>
      <c r="G40">
        <v>9.8000000000000004E-2</v>
      </c>
      <c r="H40">
        <v>707.94399999999996</v>
      </c>
      <c r="I40">
        <v>1675.8489999999999</v>
      </c>
      <c r="J40">
        <v>967.90499999999997</v>
      </c>
      <c r="K40">
        <v>8</v>
      </c>
      <c r="L40">
        <v>-2.105</v>
      </c>
      <c r="M40">
        <v>4</v>
      </c>
      <c r="N40">
        <v>114</v>
      </c>
      <c r="O40">
        <v>49</v>
      </c>
      <c r="P40">
        <v>0</v>
      </c>
      <c r="Q40">
        <v>2.97</v>
      </c>
      <c r="R40">
        <v>0.439</v>
      </c>
      <c r="S40">
        <v>-2.028</v>
      </c>
      <c r="T40">
        <v>-48.67</v>
      </c>
      <c r="U40">
        <v>7.7679999999999998</v>
      </c>
      <c r="V40">
        <v>194.19499999999999</v>
      </c>
      <c r="W40">
        <v>-46.2</v>
      </c>
      <c r="X40" t="s">
        <v>28</v>
      </c>
      <c r="Y40" t="s">
        <v>29</v>
      </c>
      <c r="Z40" t="s">
        <v>72</v>
      </c>
    </row>
    <row r="41" spans="1:26" x14ac:dyDescent="0.25">
      <c r="A41" t="s">
        <v>63</v>
      </c>
      <c r="B41">
        <v>0</v>
      </c>
      <c r="C41">
        <v>2.9849999999999999</v>
      </c>
      <c r="D41">
        <v>4.7859999999999996</v>
      </c>
      <c r="E41">
        <v>0.29599999999999999</v>
      </c>
      <c r="F41">
        <v>25.468</v>
      </c>
      <c r="G41">
        <v>1.575</v>
      </c>
      <c r="H41">
        <v>713.79300000000001</v>
      </c>
      <c r="I41">
        <v>1617.001</v>
      </c>
      <c r="J41">
        <v>903.20799999999997</v>
      </c>
      <c r="K41">
        <v>8</v>
      </c>
      <c r="L41">
        <v>-0.19400000000000001</v>
      </c>
      <c r="M41">
        <v>8</v>
      </c>
      <c r="N41">
        <v>114</v>
      </c>
      <c r="O41">
        <v>51</v>
      </c>
      <c r="P41">
        <v>0</v>
      </c>
      <c r="Q41">
        <v>0.57399999999999995</v>
      </c>
      <c r="R41">
        <v>0.53900000000000003</v>
      </c>
      <c r="S41">
        <v>-1.712</v>
      </c>
      <c r="T41">
        <v>-41.097000000000001</v>
      </c>
      <c r="U41">
        <v>2.6059999999999999</v>
      </c>
      <c r="V41">
        <v>70.373000000000005</v>
      </c>
      <c r="W41">
        <v>-46.1</v>
      </c>
      <c r="X41" t="s">
        <v>28</v>
      </c>
      <c r="Y41" t="s">
        <v>29</v>
      </c>
      <c r="Z41" t="s">
        <v>73</v>
      </c>
    </row>
    <row r="42" spans="1:26" x14ac:dyDescent="0.25">
      <c r="A42" t="s">
        <v>63</v>
      </c>
      <c r="B42">
        <v>0</v>
      </c>
      <c r="C42">
        <v>1.5089999999999999</v>
      </c>
      <c r="D42">
        <v>115.328</v>
      </c>
      <c r="E42">
        <v>7.0490000000000004</v>
      </c>
      <c r="F42">
        <v>192.92400000000001</v>
      </c>
      <c r="G42">
        <v>11.792</v>
      </c>
      <c r="H42">
        <v>1042.67</v>
      </c>
      <c r="I42">
        <v>1636.046</v>
      </c>
      <c r="J42">
        <v>593.37599999999998</v>
      </c>
      <c r="K42">
        <v>6</v>
      </c>
      <c r="L42">
        <v>-3.0000000000000001E-3</v>
      </c>
      <c r="M42">
        <v>1</v>
      </c>
      <c r="N42">
        <v>103</v>
      </c>
      <c r="O42">
        <v>59</v>
      </c>
      <c r="P42">
        <v>0</v>
      </c>
      <c r="Q42">
        <v>3.0590000000000002</v>
      </c>
      <c r="R42">
        <v>0.48599999999999999</v>
      </c>
      <c r="S42">
        <v>-0.93899999999999995</v>
      </c>
      <c r="T42">
        <v>-34.741</v>
      </c>
      <c r="U42">
        <v>9.7810000000000006</v>
      </c>
      <c r="V42">
        <v>215.19300000000001</v>
      </c>
      <c r="W42">
        <v>-36.299999999999997</v>
      </c>
      <c r="X42" t="s">
        <v>28</v>
      </c>
      <c r="Y42" t="s">
        <v>35</v>
      </c>
      <c r="Z42" t="s">
        <v>74</v>
      </c>
    </row>
    <row r="43" spans="1:26" x14ac:dyDescent="0.25">
      <c r="A43" t="s">
        <v>63</v>
      </c>
      <c r="B43">
        <v>0</v>
      </c>
      <c r="C43">
        <v>1.5509999999999999</v>
      </c>
      <c r="D43">
        <v>122.943</v>
      </c>
      <c r="E43">
        <v>7.8170000000000002</v>
      </c>
      <c r="F43">
        <v>259.113</v>
      </c>
      <c r="G43">
        <v>16.475000000000001</v>
      </c>
      <c r="H43">
        <v>1065.0609999999999</v>
      </c>
      <c r="I43">
        <v>1572.749</v>
      </c>
      <c r="J43">
        <v>507.68799999999999</v>
      </c>
      <c r="K43">
        <v>10</v>
      </c>
      <c r="L43">
        <v>-6.0000000000000001E-3</v>
      </c>
      <c r="M43">
        <v>2</v>
      </c>
      <c r="N43">
        <v>103</v>
      </c>
      <c r="O43">
        <v>55</v>
      </c>
      <c r="P43">
        <v>0</v>
      </c>
      <c r="Q43">
        <v>3.89</v>
      </c>
      <c r="R43">
        <v>0.51900000000000002</v>
      </c>
      <c r="S43">
        <v>-0.36699999999999999</v>
      </c>
      <c r="T43">
        <v>-12.122999999999999</v>
      </c>
      <c r="U43">
        <v>10.276</v>
      </c>
      <c r="V43">
        <v>226.08</v>
      </c>
      <c r="W43">
        <v>-36.1</v>
      </c>
      <c r="X43" t="s">
        <v>28</v>
      </c>
      <c r="Y43" t="s">
        <v>35</v>
      </c>
      <c r="Z43" t="s">
        <v>75</v>
      </c>
    </row>
    <row r="44" spans="1:26" x14ac:dyDescent="0.25">
      <c r="A44" t="s">
        <v>63</v>
      </c>
      <c r="B44">
        <v>0</v>
      </c>
      <c r="C44">
        <v>3.028</v>
      </c>
      <c r="D44">
        <v>92.691000000000003</v>
      </c>
      <c r="E44">
        <v>5.7309999999999999</v>
      </c>
      <c r="F44">
        <v>199.40199999999999</v>
      </c>
      <c r="G44">
        <v>12.33</v>
      </c>
      <c r="H44">
        <v>1057.0550000000001</v>
      </c>
      <c r="I44">
        <v>1617.221</v>
      </c>
      <c r="J44">
        <v>560.16600000000005</v>
      </c>
      <c r="K44">
        <v>1</v>
      </c>
      <c r="L44">
        <v>-1.2E-2</v>
      </c>
      <c r="M44">
        <v>3</v>
      </c>
      <c r="N44">
        <v>103</v>
      </c>
      <c r="O44">
        <v>52</v>
      </c>
      <c r="P44">
        <v>0</v>
      </c>
      <c r="Q44">
        <v>3.165</v>
      </c>
      <c r="R44">
        <v>0.54400000000000004</v>
      </c>
      <c r="S44">
        <v>-0.55500000000000005</v>
      </c>
      <c r="T44">
        <v>-16.652999999999999</v>
      </c>
      <c r="U44">
        <v>8.2370000000000001</v>
      </c>
      <c r="V44">
        <v>181.21199999999999</v>
      </c>
      <c r="W44">
        <v>-35.700000000000003</v>
      </c>
      <c r="X44" t="s">
        <v>28</v>
      </c>
      <c r="Y44" t="s">
        <v>35</v>
      </c>
      <c r="Z44" t="s">
        <v>76</v>
      </c>
    </row>
    <row r="45" spans="1:26" x14ac:dyDescent="0.25">
      <c r="A45" t="s">
        <v>63</v>
      </c>
      <c r="B45">
        <v>0</v>
      </c>
      <c r="C45">
        <v>-0.09</v>
      </c>
      <c r="D45">
        <v>95.343999999999994</v>
      </c>
      <c r="E45">
        <v>5.9260000000000002</v>
      </c>
      <c r="F45">
        <v>111.42</v>
      </c>
      <c r="G45">
        <v>6.9249999999999998</v>
      </c>
      <c r="H45">
        <v>1063.348</v>
      </c>
      <c r="I45">
        <v>1608.942</v>
      </c>
      <c r="J45">
        <v>545.59400000000005</v>
      </c>
      <c r="K45">
        <v>5</v>
      </c>
      <c r="L45">
        <v>0</v>
      </c>
      <c r="M45">
        <v>0</v>
      </c>
      <c r="N45">
        <v>103</v>
      </c>
      <c r="O45">
        <v>55</v>
      </c>
      <c r="P45">
        <v>0</v>
      </c>
      <c r="Q45">
        <v>1.2969999999999999</v>
      </c>
      <c r="R45">
        <v>0.56699999999999995</v>
      </c>
      <c r="S45">
        <v>-0.68100000000000005</v>
      </c>
      <c r="T45">
        <v>-21.114999999999998</v>
      </c>
      <c r="U45">
        <v>3.851</v>
      </c>
      <c r="V45">
        <v>92.424999999999997</v>
      </c>
      <c r="W45">
        <v>-35.700000000000003</v>
      </c>
      <c r="X45" t="s">
        <v>28</v>
      </c>
      <c r="Y45" t="s">
        <v>35</v>
      </c>
      <c r="Z45" t="s">
        <v>77</v>
      </c>
    </row>
    <row r="46" spans="1:26" x14ac:dyDescent="0.25">
      <c r="A46" t="s">
        <v>63</v>
      </c>
      <c r="B46">
        <v>0</v>
      </c>
      <c r="C46">
        <v>2.3420000000000001</v>
      </c>
      <c r="D46">
        <v>137.55000000000001</v>
      </c>
      <c r="E46">
        <v>9.5690000000000008</v>
      </c>
      <c r="F46">
        <v>307.67599999999999</v>
      </c>
      <c r="G46">
        <v>21.404</v>
      </c>
      <c r="H46">
        <v>871.029</v>
      </c>
      <c r="I46">
        <v>1437.463</v>
      </c>
      <c r="J46">
        <v>566.43399999999997</v>
      </c>
      <c r="K46">
        <v>13</v>
      </c>
      <c r="L46">
        <v>-3.0000000000000001E-3</v>
      </c>
      <c r="M46">
        <v>2</v>
      </c>
      <c r="N46">
        <v>103</v>
      </c>
      <c r="O46">
        <v>49</v>
      </c>
      <c r="P46">
        <v>0</v>
      </c>
      <c r="Q46">
        <v>6.1559999999999997</v>
      </c>
      <c r="R46">
        <v>0.60299999999999998</v>
      </c>
      <c r="S46">
        <v>0.96599999999999997</v>
      </c>
      <c r="T46">
        <v>25.126000000000001</v>
      </c>
      <c r="U46">
        <v>12.023</v>
      </c>
      <c r="V46">
        <v>276.54000000000002</v>
      </c>
      <c r="W46">
        <v>-35.6</v>
      </c>
      <c r="X46" t="s">
        <v>28</v>
      </c>
      <c r="Y46" t="s">
        <v>35</v>
      </c>
      <c r="Z46" t="s">
        <v>78</v>
      </c>
    </row>
    <row r="47" spans="1:26" x14ac:dyDescent="0.25">
      <c r="A47" t="s">
        <v>63</v>
      </c>
      <c r="B47">
        <v>0</v>
      </c>
      <c r="C47">
        <v>1.54</v>
      </c>
      <c r="D47">
        <v>90.772999999999996</v>
      </c>
      <c r="E47">
        <v>5.742</v>
      </c>
      <c r="F47">
        <v>267.02</v>
      </c>
      <c r="G47">
        <v>16.890999999999998</v>
      </c>
      <c r="H47">
        <v>1050.4680000000001</v>
      </c>
      <c r="I47">
        <v>1580.838</v>
      </c>
      <c r="J47">
        <v>530.37</v>
      </c>
      <c r="K47">
        <v>16</v>
      </c>
      <c r="L47">
        <v>-1.9E-2</v>
      </c>
      <c r="M47">
        <v>5</v>
      </c>
      <c r="N47">
        <v>103</v>
      </c>
      <c r="O47">
        <v>50</v>
      </c>
      <c r="P47">
        <v>0</v>
      </c>
      <c r="Q47">
        <v>5.125</v>
      </c>
      <c r="R47">
        <v>0.73199999999999998</v>
      </c>
      <c r="S47">
        <v>0.45200000000000001</v>
      </c>
      <c r="T47">
        <v>11.308999999999999</v>
      </c>
      <c r="U47">
        <v>9.7970000000000006</v>
      </c>
      <c r="V47">
        <v>244.923</v>
      </c>
      <c r="W47">
        <v>-35.5</v>
      </c>
      <c r="X47" t="s">
        <v>28</v>
      </c>
      <c r="Y47" t="s">
        <v>35</v>
      </c>
      <c r="Z47" t="s">
        <v>79</v>
      </c>
    </row>
    <row r="48" spans="1:26" x14ac:dyDescent="0.25">
      <c r="A48" t="s">
        <v>63</v>
      </c>
      <c r="B48">
        <v>0</v>
      </c>
      <c r="C48">
        <v>1.5660000000000001</v>
      </c>
      <c r="D48">
        <v>191.50200000000001</v>
      </c>
      <c r="E48">
        <v>11.798999999999999</v>
      </c>
      <c r="F48">
        <v>214.447</v>
      </c>
      <c r="G48">
        <v>13.212</v>
      </c>
      <c r="H48">
        <v>1037.539</v>
      </c>
      <c r="I48">
        <v>1623.0940000000001</v>
      </c>
      <c r="J48">
        <v>585.55499999999995</v>
      </c>
      <c r="K48">
        <v>8</v>
      </c>
      <c r="L48">
        <v>-6.0000000000000001E-3</v>
      </c>
      <c r="M48">
        <v>1</v>
      </c>
      <c r="N48">
        <v>103</v>
      </c>
      <c r="O48">
        <v>59</v>
      </c>
      <c r="P48">
        <v>0</v>
      </c>
      <c r="Q48">
        <v>2.7919999999999998</v>
      </c>
      <c r="R48">
        <v>0.67900000000000005</v>
      </c>
      <c r="S48">
        <v>0.21099999999999999</v>
      </c>
      <c r="T48">
        <v>8.016</v>
      </c>
      <c r="U48">
        <v>7.4640000000000004</v>
      </c>
      <c r="V48">
        <v>156.74100000000001</v>
      </c>
      <c r="W48">
        <v>-35.4</v>
      </c>
      <c r="X48" t="s">
        <v>28</v>
      </c>
      <c r="Y48" t="s">
        <v>35</v>
      </c>
      <c r="Z48" t="s">
        <v>80</v>
      </c>
    </row>
    <row r="49" spans="1:26" x14ac:dyDescent="0.25">
      <c r="A49" t="s">
        <v>63</v>
      </c>
      <c r="B49">
        <v>0</v>
      </c>
      <c r="C49">
        <v>-0.64800000000000002</v>
      </c>
      <c r="D49">
        <v>57.13</v>
      </c>
      <c r="E49">
        <v>3.794</v>
      </c>
      <c r="F49">
        <v>73.028000000000006</v>
      </c>
      <c r="G49">
        <v>4.8490000000000002</v>
      </c>
      <c r="H49">
        <v>836.38099999999997</v>
      </c>
      <c r="I49">
        <v>1505.8979999999999</v>
      </c>
      <c r="J49">
        <v>669.51700000000005</v>
      </c>
      <c r="K49">
        <v>7</v>
      </c>
      <c r="L49">
        <v>-2.8000000000000001E-2</v>
      </c>
      <c r="M49">
        <v>3</v>
      </c>
      <c r="N49">
        <v>103</v>
      </c>
      <c r="O49">
        <v>53</v>
      </c>
      <c r="P49">
        <v>0</v>
      </c>
      <c r="Q49">
        <v>0.47299999999999998</v>
      </c>
      <c r="R49">
        <v>0.45</v>
      </c>
      <c r="S49">
        <v>-1.006</v>
      </c>
      <c r="T49">
        <v>-30.187999999999999</v>
      </c>
      <c r="U49">
        <v>2.403</v>
      </c>
      <c r="V49">
        <v>55.274999999999999</v>
      </c>
      <c r="W49">
        <v>-35.200000000000003</v>
      </c>
      <c r="X49" t="s">
        <v>28</v>
      </c>
      <c r="Y49" t="s">
        <v>35</v>
      </c>
      <c r="Z49" t="s">
        <v>81</v>
      </c>
    </row>
    <row r="50" spans="1:26" x14ac:dyDescent="0.25">
      <c r="A50" t="s">
        <v>63</v>
      </c>
      <c r="B50">
        <v>0</v>
      </c>
      <c r="C50">
        <v>-0.318</v>
      </c>
      <c r="D50">
        <v>8.5220000000000002</v>
      </c>
      <c r="E50">
        <v>0.46200000000000002</v>
      </c>
      <c r="F50">
        <v>107.17100000000001</v>
      </c>
      <c r="G50">
        <v>5.806</v>
      </c>
      <c r="H50">
        <v>1231.913</v>
      </c>
      <c r="I50">
        <v>1845.856</v>
      </c>
      <c r="J50">
        <v>613.94399999999996</v>
      </c>
      <c r="K50">
        <v>19</v>
      </c>
      <c r="L50">
        <v>-3.0000000000000001E-3</v>
      </c>
      <c r="M50">
        <v>2</v>
      </c>
      <c r="N50">
        <v>103</v>
      </c>
      <c r="O50">
        <v>59</v>
      </c>
      <c r="P50">
        <v>0</v>
      </c>
      <c r="Q50">
        <v>0.70499999999999996</v>
      </c>
      <c r="R50">
        <v>0.501</v>
      </c>
      <c r="S50">
        <v>-1.4630000000000001</v>
      </c>
      <c r="T50">
        <v>-49.73</v>
      </c>
      <c r="U50">
        <v>3.6520000000000001</v>
      </c>
      <c r="V50">
        <v>91.308000000000007</v>
      </c>
      <c r="W50">
        <v>-34.799999999999997</v>
      </c>
      <c r="X50" t="s">
        <v>28</v>
      </c>
      <c r="Y50" t="s">
        <v>35</v>
      </c>
      <c r="Z50" t="s">
        <v>82</v>
      </c>
    </row>
    <row r="51" spans="1:26" x14ac:dyDescent="0.25">
      <c r="A51" t="s">
        <v>63</v>
      </c>
      <c r="B51">
        <v>0</v>
      </c>
      <c r="C51">
        <v>2.59</v>
      </c>
      <c r="D51">
        <v>225.61</v>
      </c>
      <c r="E51">
        <v>19.146000000000001</v>
      </c>
      <c r="F51">
        <v>280.99400000000003</v>
      </c>
      <c r="G51">
        <v>23.847000000000001</v>
      </c>
      <c r="H51">
        <v>725.46799999999996</v>
      </c>
      <c r="I51">
        <v>1178.346</v>
      </c>
      <c r="J51">
        <v>452.87799999999999</v>
      </c>
      <c r="K51">
        <v>9</v>
      </c>
      <c r="L51">
        <v>-7.0000000000000001E-3</v>
      </c>
      <c r="M51">
        <v>2</v>
      </c>
      <c r="N51">
        <v>103</v>
      </c>
      <c r="O51">
        <v>44</v>
      </c>
      <c r="P51">
        <v>0</v>
      </c>
      <c r="Q51">
        <v>5.5229999999999997</v>
      </c>
      <c r="R51">
        <v>0.624</v>
      </c>
      <c r="S51">
        <v>2.8149999999999999</v>
      </c>
      <c r="T51">
        <v>67.551000000000002</v>
      </c>
      <c r="U51">
        <v>8.7729999999999997</v>
      </c>
      <c r="V51">
        <v>175.459</v>
      </c>
      <c r="W51">
        <v>-34.6</v>
      </c>
      <c r="X51" t="s">
        <v>28</v>
      </c>
      <c r="Y51" t="s">
        <v>35</v>
      </c>
      <c r="Z51" t="s">
        <v>83</v>
      </c>
    </row>
    <row r="52" spans="1:26" x14ac:dyDescent="0.25">
      <c r="A52" t="s">
        <v>63</v>
      </c>
      <c r="B52">
        <v>0</v>
      </c>
      <c r="C52">
        <v>0.10199999999999999</v>
      </c>
      <c r="D52">
        <v>28.768000000000001</v>
      </c>
      <c r="E52">
        <v>1.766</v>
      </c>
      <c r="F52">
        <v>72.790000000000006</v>
      </c>
      <c r="G52">
        <v>4.468</v>
      </c>
      <c r="H52">
        <v>875.46500000000003</v>
      </c>
      <c r="I52">
        <v>1629.1289999999999</v>
      </c>
      <c r="J52">
        <v>753.66399999999999</v>
      </c>
      <c r="K52">
        <v>10</v>
      </c>
      <c r="L52">
        <v>-5.7000000000000002E-2</v>
      </c>
      <c r="M52">
        <v>8</v>
      </c>
      <c r="N52">
        <v>106</v>
      </c>
      <c r="O52">
        <v>53</v>
      </c>
      <c r="P52">
        <v>0</v>
      </c>
      <c r="Q52">
        <v>1.532</v>
      </c>
      <c r="R52">
        <v>0.48</v>
      </c>
      <c r="S52">
        <v>-1.3360000000000001</v>
      </c>
      <c r="T52">
        <v>-38.747999999999998</v>
      </c>
      <c r="U52">
        <v>4.9969999999999999</v>
      </c>
      <c r="V52">
        <v>119.931</v>
      </c>
      <c r="W52">
        <v>-48.9</v>
      </c>
      <c r="X52" t="s">
        <v>28</v>
      </c>
      <c r="Y52" t="s">
        <v>41</v>
      </c>
      <c r="Z52" t="s">
        <v>84</v>
      </c>
    </row>
    <row r="53" spans="1:26" x14ac:dyDescent="0.25">
      <c r="A53" t="s">
        <v>63</v>
      </c>
      <c r="B53">
        <v>0</v>
      </c>
      <c r="C53">
        <v>0.44500000000000001</v>
      </c>
      <c r="D53">
        <v>21.748999999999999</v>
      </c>
      <c r="E53">
        <v>1.2110000000000001</v>
      </c>
      <c r="F53">
        <v>72.353999999999999</v>
      </c>
      <c r="G53">
        <v>4.0270000000000001</v>
      </c>
      <c r="H53">
        <v>861.15499999999997</v>
      </c>
      <c r="I53">
        <v>1796.6590000000001</v>
      </c>
      <c r="J53">
        <v>935.50400000000002</v>
      </c>
      <c r="K53">
        <v>11</v>
      </c>
      <c r="L53">
        <v>-5.7000000000000002E-2</v>
      </c>
      <c r="M53">
        <v>7</v>
      </c>
      <c r="N53">
        <v>106</v>
      </c>
      <c r="O53">
        <v>51</v>
      </c>
      <c r="P53">
        <v>0</v>
      </c>
      <c r="Q53">
        <v>1.9970000000000001</v>
      </c>
      <c r="R53">
        <v>0.62</v>
      </c>
      <c r="S53">
        <v>-1.5469999999999999</v>
      </c>
      <c r="T53">
        <v>-43.326000000000001</v>
      </c>
      <c r="U53">
        <v>6.3129999999999997</v>
      </c>
      <c r="V53">
        <v>145.19200000000001</v>
      </c>
      <c r="W53">
        <v>-46.1</v>
      </c>
      <c r="X53" t="s">
        <v>28</v>
      </c>
      <c r="Y53" t="s">
        <v>41</v>
      </c>
      <c r="Z53" t="s">
        <v>85</v>
      </c>
    </row>
    <row r="54" spans="1:26" x14ac:dyDescent="0.25">
      <c r="A54" t="s">
        <v>63</v>
      </c>
      <c r="B54">
        <v>0</v>
      </c>
      <c r="C54">
        <v>0.22</v>
      </c>
      <c r="D54">
        <v>13.927</v>
      </c>
      <c r="E54">
        <v>0.77500000000000002</v>
      </c>
      <c r="F54">
        <v>93.233000000000004</v>
      </c>
      <c r="G54">
        <v>5.1890000000000001</v>
      </c>
      <c r="H54">
        <v>980.57600000000002</v>
      </c>
      <c r="I54">
        <v>1796.8869999999999</v>
      </c>
      <c r="J54">
        <v>816.31200000000001</v>
      </c>
      <c r="K54">
        <v>22</v>
      </c>
      <c r="L54">
        <v>-3.4000000000000002E-2</v>
      </c>
      <c r="M54">
        <v>5</v>
      </c>
      <c r="N54">
        <v>106</v>
      </c>
      <c r="O54">
        <v>54</v>
      </c>
      <c r="P54">
        <v>0</v>
      </c>
      <c r="Q54">
        <v>1.405</v>
      </c>
      <c r="R54">
        <v>0.69</v>
      </c>
      <c r="S54">
        <v>-1.381</v>
      </c>
      <c r="T54">
        <v>-38.665999999999997</v>
      </c>
      <c r="U54">
        <v>4.4059999999999997</v>
      </c>
      <c r="V54">
        <v>114.55800000000001</v>
      </c>
      <c r="W54">
        <v>-46</v>
      </c>
      <c r="X54" t="s">
        <v>28</v>
      </c>
      <c r="Y54" t="s">
        <v>41</v>
      </c>
      <c r="Z54" t="s">
        <v>86</v>
      </c>
    </row>
    <row r="55" spans="1:26" x14ac:dyDescent="0.25">
      <c r="A55" t="s">
        <v>63</v>
      </c>
      <c r="B55">
        <v>0</v>
      </c>
      <c r="C55">
        <v>-1.0529999999999999</v>
      </c>
      <c r="D55">
        <v>13.504</v>
      </c>
      <c r="E55">
        <v>0.80600000000000005</v>
      </c>
      <c r="F55">
        <v>28.995000000000001</v>
      </c>
      <c r="G55">
        <v>1.7310000000000001</v>
      </c>
      <c r="H55">
        <v>752.01700000000005</v>
      </c>
      <c r="I55">
        <v>1675.251</v>
      </c>
      <c r="J55">
        <v>923.23400000000004</v>
      </c>
      <c r="K55">
        <v>12</v>
      </c>
      <c r="L55">
        <v>-0.09</v>
      </c>
      <c r="M55">
        <v>3</v>
      </c>
      <c r="N55">
        <v>106</v>
      </c>
      <c r="O55">
        <v>51</v>
      </c>
      <c r="P55">
        <v>0</v>
      </c>
      <c r="Q55">
        <v>-0.46200000000000002</v>
      </c>
      <c r="R55">
        <v>0.56200000000000006</v>
      </c>
      <c r="S55">
        <v>-1.7549999999999999</v>
      </c>
      <c r="T55">
        <v>-45.631</v>
      </c>
      <c r="U55">
        <v>0.88200000000000001</v>
      </c>
      <c r="V55">
        <v>22.056999999999999</v>
      </c>
      <c r="W55">
        <v>-45.9</v>
      </c>
      <c r="X55" t="s">
        <v>28</v>
      </c>
      <c r="Y55" t="s">
        <v>41</v>
      </c>
      <c r="Z55" t="s">
        <v>87</v>
      </c>
    </row>
    <row r="56" spans="1:26" x14ac:dyDescent="0.25">
      <c r="A56" t="s">
        <v>63</v>
      </c>
      <c r="B56">
        <v>0</v>
      </c>
      <c r="C56">
        <v>0.25900000000000001</v>
      </c>
      <c r="D56">
        <v>22.315000000000001</v>
      </c>
      <c r="E56">
        <v>1.292</v>
      </c>
      <c r="F56">
        <v>-28.852</v>
      </c>
      <c r="G56">
        <v>-1.671</v>
      </c>
      <c r="H56">
        <v>832.60500000000002</v>
      </c>
      <c r="I56">
        <v>1726.932</v>
      </c>
      <c r="J56">
        <v>894.327</v>
      </c>
      <c r="K56">
        <v>15</v>
      </c>
      <c r="L56">
        <v>3.5999999999999997E-2</v>
      </c>
      <c r="M56">
        <v>3</v>
      </c>
      <c r="N56">
        <v>106</v>
      </c>
      <c r="O56">
        <v>50</v>
      </c>
      <c r="P56">
        <v>0</v>
      </c>
      <c r="Q56">
        <v>1.9119999999999999</v>
      </c>
      <c r="R56">
        <v>0.57299999999999995</v>
      </c>
      <c r="S56">
        <v>-1.579</v>
      </c>
      <c r="T56">
        <v>-39.465000000000003</v>
      </c>
      <c r="U56">
        <v>5.4020000000000001</v>
      </c>
      <c r="V56">
        <v>135.06200000000001</v>
      </c>
      <c r="W56">
        <v>-45.6</v>
      </c>
      <c r="X56" t="s">
        <v>28</v>
      </c>
      <c r="Y56" t="s">
        <v>41</v>
      </c>
      <c r="Z56" t="s">
        <v>88</v>
      </c>
    </row>
    <row r="57" spans="1:26" x14ac:dyDescent="0.25">
      <c r="A57" t="s">
        <v>63</v>
      </c>
      <c r="B57">
        <v>0</v>
      </c>
      <c r="C57">
        <v>0.34799999999999998</v>
      </c>
      <c r="D57">
        <v>62.598999999999997</v>
      </c>
      <c r="E57">
        <v>3.7909999999999999</v>
      </c>
      <c r="F57">
        <v>122.57899999999999</v>
      </c>
      <c r="G57">
        <v>7.423</v>
      </c>
      <c r="H57">
        <v>847.03200000000004</v>
      </c>
      <c r="I57">
        <v>1651.3440000000001</v>
      </c>
      <c r="J57">
        <v>804.31200000000001</v>
      </c>
      <c r="K57">
        <v>8</v>
      </c>
      <c r="L57">
        <v>-2.3E-2</v>
      </c>
      <c r="M57">
        <v>4</v>
      </c>
      <c r="N57">
        <v>106</v>
      </c>
      <c r="O57">
        <v>51</v>
      </c>
      <c r="P57">
        <v>0</v>
      </c>
      <c r="Q57">
        <v>1.905</v>
      </c>
      <c r="R57">
        <v>0.45800000000000002</v>
      </c>
      <c r="S57">
        <v>-0.65200000000000002</v>
      </c>
      <c r="T57">
        <v>-17.597999999999999</v>
      </c>
      <c r="U57">
        <v>4.7809999999999997</v>
      </c>
      <c r="V57">
        <v>114.75</v>
      </c>
      <c r="W57">
        <v>-45.4</v>
      </c>
      <c r="X57" t="s">
        <v>28</v>
      </c>
      <c r="Y57" t="s">
        <v>41</v>
      </c>
      <c r="Z57" t="s">
        <v>89</v>
      </c>
    </row>
    <row r="58" spans="1:26" x14ac:dyDescent="0.25">
      <c r="A58" t="s">
        <v>63</v>
      </c>
      <c r="B58">
        <v>0</v>
      </c>
      <c r="C58">
        <v>-0.105</v>
      </c>
      <c r="D58">
        <v>8.1519999999999992</v>
      </c>
      <c r="E58">
        <v>0.63</v>
      </c>
      <c r="F58">
        <v>20.204999999999998</v>
      </c>
      <c r="G58">
        <v>1.56</v>
      </c>
      <c r="H58">
        <v>516.17899999999997</v>
      </c>
      <c r="I58">
        <v>1294.876</v>
      </c>
      <c r="J58">
        <v>778.697</v>
      </c>
      <c r="K58">
        <v>6</v>
      </c>
      <c r="L58">
        <v>-0.188</v>
      </c>
      <c r="M58">
        <v>4</v>
      </c>
      <c r="N58">
        <v>106</v>
      </c>
      <c r="O58">
        <v>35</v>
      </c>
      <c r="P58">
        <v>0</v>
      </c>
      <c r="Q58">
        <v>1.0860000000000001</v>
      </c>
      <c r="R58">
        <v>0.61099999999999999</v>
      </c>
      <c r="S58">
        <v>-1.077</v>
      </c>
      <c r="T58">
        <v>-17.231000000000002</v>
      </c>
      <c r="U58">
        <v>2.907</v>
      </c>
      <c r="V58">
        <v>55.23</v>
      </c>
      <c r="W58">
        <v>-45.3</v>
      </c>
      <c r="X58" t="s">
        <v>28</v>
      </c>
      <c r="Y58" t="s">
        <v>41</v>
      </c>
      <c r="Z58" t="s">
        <v>90</v>
      </c>
    </row>
    <row r="59" spans="1:26" x14ac:dyDescent="0.25">
      <c r="A59" t="s">
        <v>63</v>
      </c>
      <c r="B59">
        <v>0</v>
      </c>
      <c r="C59">
        <v>-0.60499999999999998</v>
      </c>
      <c r="D59">
        <v>11.743</v>
      </c>
      <c r="E59">
        <v>0.72899999999999998</v>
      </c>
      <c r="F59">
        <v>33.287999999999997</v>
      </c>
      <c r="G59">
        <v>2.0659999999999998</v>
      </c>
      <c r="H59">
        <v>831.35599999999999</v>
      </c>
      <c r="I59">
        <v>1611.5029999999999</v>
      </c>
      <c r="J59">
        <v>780.14700000000005</v>
      </c>
      <c r="K59">
        <v>8</v>
      </c>
      <c r="L59">
        <v>-7.2999999999999995E-2</v>
      </c>
      <c r="M59">
        <v>3</v>
      </c>
      <c r="N59">
        <v>106</v>
      </c>
      <c r="O59">
        <v>51</v>
      </c>
      <c r="P59">
        <v>0</v>
      </c>
      <c r="Q59">
        <v>-0.23699999999999999</v>
      </c>
      <c r="R59">
        <v>0.498</v>
      </c>
      <c r="S59">
        <v>-1.8149999999999999</v>
      </c>
      <c r="T59">
        <v>-49.003999999999998</v>
      </c>
      <c r="U59">
        <v>1.5369999999999999</v>
      </c>
      <c r="V59">
        <v>36.895000000000003</v>
      </c>
      <c r="W59">
        <v>-45.1</v>
      </c>
      <c r="X59" t="s">
        <v>28</v>
      </c>
      <c r="Y59" t="s">
        <v>41</v>
      </c>
      <c r="Z59" t="s">
        <v>91</v>
      </c>
    </row>
    <row r="60" spans="1:26" x14ac:dyDescent="0.25">
      <c r="A60" t="s">
        <v>63</v>
      </c>
      <c r="B60">
        <v>0</v>
      </c>
      <c r="C60">
        <v>1.4410000000000001</v>
      </c>
      <c r="D60">
        <v>-2.371</v>
      </c>
      <c r="E60">
        <v>-0.14199999999999999</v>
      </c>
      <c r="F60">
        <v>22.193999999999999</v>
      </c>
      <c r="G60">
        <v>1.3320000000000001</v>
      </c>
      <c r="H60">
        <v>744.17100000000005</v>
      </c>
      <c r="I60">
        <v>1666.636</v>
      </c>
      <c r="J60">
        <v>922.46400000000006</v>
      </c>
      <c r="K60">
        <v>13</v>
      </c>
      <c r="L60">
        <v>-0.154</v>
      </c>
      <c r="M60">
        <v>4</v>
      </c>
      <c r="N60">
        <v>106</v>
      </c>
      <c r="O60">
        <v>47</v>
      </c>
      <c r="P60">
        <v>0</v>
      </c>
      <c r="Q60">
        <v>2.4929999999999999</v>
      </c>
      <c r="R60">
        <v>0.56100000000000005</v>
      </c>
      <c r="S60">
        <v>-1.446</v>
      </c>
      <c r="T60">
        <v>-31.81</v>
      </c>
      <c r="U60">
        <v>5.9589999999999996</v>
      </c>
      <c r="V60">
        <v>148.97800000000001</v>
      </c>
      <c r="W60">
        <v>-44.7</v>
      </c>
      <c r="X60" t="s">
        <v>28</v>
      </c>
      <c r="Y60" t="s">
        <v>41</v>
      </c>
      <c r="Z60" t="s">
        <v>92</v>
      </c>
    </row>
    <row r="61" spans="1:26" x14ac:dyDescent="0.25">
      <c r="A61" t="s">
        <v>63</v>
      </c>
      <c r="B61">
        <v>0</v>
      </c>
      <c r="C61">
        <v>1.429</v>
      </c>
      <c r="D61">
        <v>87.992999999999995</v>
      </c>
      <c r="E61">
        <v>4.5650000000000004</v>
      </c>
      <c r="F61">
        <v>142.804</v>
      </c>
      <c r="G61">
        <v>7.4089999999999998</v>
      </c>
      <c r="H61">
        <v>990.9</v>
      </c>
      <c r="I61">
        <v>1927.4110000000001</v>
      </c>
      <c r="J61">
        <v>936.51099999999997</v>
      </c>
      <c r="K61">
        <v>14</v>
      </c>
      <c r="L61">
        <v>-2.5000000000000001E-2</v>
      </c>
      <c r="M61">
        <v>6</v>
      </c>
      <c r="N61">
        <v>106</v>
      </c>
      <c r="O61">
        <v>60</v>
      </c>
      <c r="P61">
        <v>0</v>
      </c>
      <c r="Q61">
        <v>2.5649999999999999</v>
      </c>
      <c r="R61">
        <v>0.64900000000000002</v>
      </c>
      <c r="S61">
        <v>-0.41099999999999998</v>
      </c>
      <c r="T61">
        <v>-13.157</v>
      </c>
      <c r="U61">
        <v>5.9660000000000002</v>
      </c>
      <c r="V61">
        <v>167.042</v>
      </c>
      <c r="W61">
        <v>-44.4</v>
      </c>
      <c r="X61" t="s">
        <v>28</v>
      </c>
      <c r="Y61" t="s">
        <v>41</v>
      </c>
      <c r="Z61" t="s">
        <v>93</v>
      </c>
    </row>
    <row r="62" spans="1:26" x14ac:dyDescent="0.25">
      <c r="A62" t="s">
        <v>63</v>
      </c>
      <c r="B62">
        <v>0</v>
      </c>
      <c r="C62">
        <v>4.37</v>
      </c>
      <c r="D62">
        <v>120.35299999999999</v>
      </c>
      <c r="E62">
        <v>5.3860000000000001</v>
      </c>
      <c r="F62">
        <v>225.31700000000001</v>
      </c>
      <c r="G62">
        <v>10.082000000000001</v>
      </c>
      <c r="H62">
        <v>1230.019</v>
      </c>
      <c r="I62">
        <v>2234.7559999999999</v>
      </c>
      <c r="J62">
        <v>1004.737</v>
      </c>
      <c r="K62">
        <v>29</v>
      </c>
      <c r="L62">
        <v>-0.01</v>
      </c>
      <c r="M62">
        <v>4</v>
      </c>
      <c r="N62">
        <v>131</v>
      </c>
      <c r="O62">
        <v>69</v>
      </c>
      <c r="P62">
        <v>0</v>
      </c>
      <c r="Q62">
        <v>5.2110000000000003</v>
      </c>
      <c r="R62">
        <v>0.59699999999999998</v>
      </c>
      <c r="S62">
        <v>-0.14499999999999999</v>
      </c>
      <c r="T62">
        <v>-5.6689999999999996</v>
      </c>
      <c r="U62">
        <v>12.173</v>
      </c>
      <c r="V62">
        <v>365.2</v>
      </c>
      <c r="W62">
        <v>-46</v>
      </c>
      <c r="X62" t="s">
        <v>47</v>
      </c>
      <c r="Y62" t="s">
        <v>29</v>
      </c>
      <c r="Z62" t="s">
        <v>94</v>
      </c>
    </row>
    <row r="63" spans="1:26" x14ac:dyDescent="0.25">
      <c r="A63" t="s">
        <v>63</v>
      </c>
      <c r="B63">
        <v>0</v>
      </c>
      <c r="C63">
        <v>0.66600000000000004</v>
      </c>
      <c r="D63">
        <v>19.62</v>
      </c>
      <c r="E63">
        <v>0.873</v>
      </c>
      <c r="F63">
        <v>87.768000000000001</v>
      </c>
      <c r="G63">
        <v>3.907</v>
      </c>
      <c r="H63">
        <v>1238.787</v>
      </c>
      <c r="I63">
        <v>2246.4780000000001</v>
      </c>
      <c r="J63">
        <v>1007.69</v>
      </c>
      <c r="K63">
        <v>18</v>
      </c>
      <c r="L63">
        <v>-3.5000000000000003E-2</v>
      </c>
      <c r="M63">
        <v>6</v>
      </c>
      <c r="N63">
        <v>131</v>
      </c>
      <c r="O63">
        <v>60</v>
      </c>
      <c r="P63">
        <v>0</v>
      </c>
      <c r="Q63">
        <v>0.65100000000000002</v>
      </c>
      <c r="R63">
        <v>0.48699999999999999</v>
      </c>
      <c r="S63">
        <v>-1.96</v>
      </c>
      <c r="T63">
        <v>-64.667000000000002</v>
      </c>
      <c r="U63">
        <v>3.8420000000000001</v>
      </c>
      <c r="V63">
        <v>103.744</v>
      </c>
      <c r="W63">
        <v>-45.7</v>
      </c>
      <c r="X63" t="s">
        <v>47</v>
      </c>
      <c r="Y63" t="s">
        <v>29</v>
      </c>
      <c r="Z63" t="s">
        <v>95</v>
      </c>
    </row>
    <row r="64" spans="1:26" x14ac:dyDescent="0.25">
      <c r="A64" t="s">
        <v>63</v>
      </c>
      <c r="B64">
        <v>0</v>
      </c>
      <c r="C64">
        <v>4.492</v>
      </c>
      <c r="D64">
        <v>186.72200000000001</v>
      </c>
      <c r="E64">
        <v>11.199</v>
      </c>
      <c r="F64">
        <v>296.17</v>
      </c>
      <c r="G64">
        <v>17.763000000000002</v>
      </c>
      <c r="H64">
        <v>1067.4970000000001</v>
      </c>
      <c r="I64">
        <v>1667.3040000000001</v>
      </c>
      <c r="J64">
        <v>599.80700000000002</v>
      </c>
      <c r="K64">
        <v>17</v>
      </c>
      <c r="L64">
        <v>0</v>
      </c>
      <c r="M64">
        <v>1</v>
      </c>
      <c r="N64">
        <v>131</v>
      </c>
      <c r="O64">
        <v>55</v>
      </c>
      <c r="P64">
        <v>0</v>
      </c>
      <c r="Q64">
        <v>6.758</v>
      </c>
      <c r="R64">
        <v>0.54400000000000004</v>
      </c>
      <c r="S64">
        <v>1.401</v>
      </c>
      <c r="T64">
        <v>40.634999999999998</v>
      </c>
      <c r="U64">
        <v>12.734</v>
      </c>
      <c r="V64">
        <v>331.07799999999997</v>
      </c>
      <c r="W64">
        <v>-44.8</v>
      </c>
      <c r="X64" t="s">
        <v>47</v>
      </c>
      <c r="Y64" t="s">
        <v>29</v>
      </c>
      <c r="Z64" t="s">
        <v>96</v>
      </c>
    </row>
    <row r="65" spans="1:26" x14ac:dyDescent="0.25">
      <c r="A65" t="s">
        <v>63</v>
      </c>
      <c r="B65">
        <v>0</v>
      </c>
      <c r="C65">
        <v>2.4169999999999998</v>
      </c>
      <c r="D65">
        <v>10.52</v>
      </c>
      <c r="E65">
        <v>0.61199999999999999</v>
      </c>
      <c r="F65">
        <v>54.393999999999998</v>
      </c>
      <c r="G65">
        <v>3.1629999999999998</v>
      </c>
      <c r="H65">
        <v>959.72299999999996</v>
      </c>
      <c r="I65">
        <v>1719.806</v>
      </c>
      <c r="J65">
        <v>760.08299999999997</v>
      </c>
      <c r="K65">
        <v>11</v>
      </c>
      <c r="L65">
        <v>0</v>
      </c>
      <c r="M65">
        <v>1</v>
      </c>
      <c r="N65">
        <v>131</v>
      </c>
      <c r="O65">
        <v>55</v>
      </c>
      <c r="P65">
        <v>0</v>
      </c>
      <c r="Q65">
        <v>1.6359999999999999</v>
      </c>
      <c r="R65">
        <v>0.628</v>
      </c>
      <c r="S65">
        <v>-1.7390000000000001</v>
      </c>
      <c r="T65">
        <v>-46.966000000000001</v>
      </c>
      <c r="U65">
        <v>4.8899999999999997</v>
      </c>
      <c r="V65">
        <v>136.928</v>
      </c>
      <c r="W65">
        <v>-44.8</v>
      </c>
      <c r="X65" t="s">
        <v>47</v>
      </c>
      <c r="Y65" t="s">
        <v>29</v>
      </c>
      <c r="Z65" t="s">
        <v>97</v>
      </c>
    </row>
    <row r="66" spans="1:26" x14ac:dyDescent="0.25">
      <c r="A66" t="s">
        <v>63</v>
      </c>
      <c r="B66">
        <v>0</v>
      </c>
      <c r="C66">
        <v>2.0249999999999999</v>
      </c>
      <c r="D66">
        <v>-17.526</v>
      </c>
      <c r="E66">
        <v>-0.94699999999999995</v>
      </c>
      <c r="F66">
        <v>31.224</v>
      </c>
      <c r="G66">
        <v>1.6879999999999999</v>
      </c>
      <c r="H66">
        <v>927.98299999999995</v>
      </c>
      <c r="I66">
        <v>1850.181</v>
      </c>
      <c r="J66">
        <v>922.19799999999998</v>
      </c>
      <c r="K66">
        <v>24</v>
      </c>
      <c r="L66">
        <v>-5.2999999999999999E-2</v>
      </c>
      <c r="M66">
        <v>3</v>
      </c>
      <c r="N66">
        <v>131</v>
      </c>
      <c r="O66">
        <v>61</v>
      </c>
      <c r="P66">
        <v>0</v>
      </c>
      <c r="Q66">
        <v>2.3199999999999998</v>
      </c>
      <c r="R66">
        <v>0.46300000000000002</v>
      </c>
      <c r="S66">
        <v>-2.4279999999999999</v>
      </c>
      <c r="T66">
        <v>-77.7</v>
      </c>
      <c r="U66">
        <v>7.5590000000000002</v>
      </c>
      <c r="V66">
        <v>219.22</v>
      </c>
      <c r="W66">
        <v>-44.7</v>
      </c>
      <c r="X66" t="s">
        <v>47</v>
      </c>
      <c r="Y66" t="s">
        <v>29</v>
      </c>
      <c r="Z66" t="s">
        <v>98</v>
      </c>
    </row>
    <row r="67" spans="1:26" x14ac:dyDescent="0.25">
      <c r="A67" t="s">
        <v>63</v>
      </c>
      <c r="B67">
        <v>0</v>
      </c>
      <c r="C67">
        <v>2.9390000000000001</v>
      </c>
      <c r="D67">
        <v>42.362000000000002</v>
      </c>
      <c r="E67">
        <v>1.9890000000000001</v>
      </c>
      <c r="F67">
        <v>93.867999999999995</v>
      </c>
      <c r="G67">
        <v>4.4080000000000004</v>
      </c>
      <c r="H67">
        <v>1159.277</v>
      </c>
      <c r="I67">
        <v>2129.5309999999999</v>
      </c>
      <c r="J67">
        <v>970.25400000000002</v>
      </c>
      <c r="K67">
        <v>17</v>
      </c>
      <c r="L67">
        <v>-2.5000000000000001E-2</v>
      </c>
      <c r="M67">
        <v>4</v>
      </c>
      <c r="N67">
        <v>131</v>
      </c>
      <c r="O67">
        <v>66</v>
      </c>
      <c r="P67">
        <v>0</v>
      </c>
      <c r="Q67">
        <v>1.5609999999999999</v>
      </c>
      <c r="R67">
        <v>0.52600000000000002</v>
      </c>
      <c r="S67">
        <v>-1.5169999999999999</v>
      </c>
      <c r="T67">
        <v>-53.094000000000001</v>
      </c>
      <c r="U67">
        <v>5.0369999999999999</v>
      </c>
      <c r="V67">
        <v>156.13999999999999</v>
      </c>
      <c r="W67">
        <v>-44.4</v>
      </c>
      <c r="X67" t="s">
        <v>47</v>
      </c>
      <c r="Y67" t="s">
        <v>29</v>
      </c>
      <c r="Z67" t="s">
        <v>99</v>
      </c>
    </row>
    <row r="68" spans="1:26" x14ac:dyDescent="0.25">
      <c r="A68" t="s">
        <v>63</v>
      </c>
      <c r="B68">
        <v>0</v>
      </c>
      <c r="C68">
        <v>3.4329999999999998</v>
      </c>
      <c r="D68">
        <v>89.632999999999996</v>
      </c>
      <c r="E68">
        <v>4.069</v>
      </c>
      <c r="F68">
        <v>345.87799999999999</v>
      </c>
      <c r="G68">
        <v>15.702999999999999</v>
      </c>
      <c r="H68">
        <v>1241.806</v>
      </c>
      <c r="I68">
        <v>2202.665</v>
      </c>
      <c r="J68">
        <v>960.86</v>
      </c>
      <c r="K68">
        <v>30</v>
      </c>
      <c r="L68">
        <v>-3.0000000000000001E-3</v>
      </c>
      <c r="M68">
        <v>2</v>
      </c>
      <c r="N68">
        <v>131</v>
      </c>
      <c r="O68">
        <v>73</v>
      </c>
      <c r="P68">
        <v>0</v>
      </c>
      <c r="Q68">
        <v>5.3879999999999999</v>
      </c>
      <c r="R68">
        <v>0.627</v>
      </c>
      <c r="S68">
        <v>-1.4710000000000001</v>
      </c>
      <c r="T68">
        <v>-60.317</v>
      </c>
      <c r="U68">
        <v>14.175000000000001</v>
      </c>
      <c r="V68">
        <v>453.60599999999999</v>
      </c>
      <c r="W68">
        <v>-44.3</v>
      </c>
      <c r="X68" t="s">
        <v>47</v>
      </c>
      <c r="Y68" t="s">
        <v>29</v>
      </c>
      <c r="Z68" t="s">
        <v>100</v>
      </c>
    </row>
    <row r="69" spans="1:26" x14ac:dyDescent="0.25">
      <c r="A69" t="s">
        <v>63</v>
      </c>
      <c r="B69">
        <v>0</v>
      </c>
      <c r="C69">
        <v>3.706</v>
      </c>
      <c r="D69">
        <v>227.88</v>
      </c>
      <c r="E69">
        <v>9.2530000000000001</v>
      </c>
      <c r="F69">
        <v>531.149</v>
      </c>
      <c r="G69">
        <v>21.567</v>
      </c>
      <c r="H69">
        <v>1362.289</v>
      </c>
      <c r="I69">
        <v>2462.739</v>
      </c>
      <c r="J69">
        <v>1100.45</v>
      </c>
      <c r="K69">
        <v>10</v>
      </c>
      <c r="L69">
        <v>-3.0000000000000001E-3</v>
      </c>
      <c r="M69">
        <v>2</v>
      </c>
      <c r="N69">
        <v>131</v>
      </c>
      <c r="O69">
        <v>78</v>
      </c>
      <c r="P69">
        <v>0</v>
      </c>
      <c r="Q69">
        <v>6.0270000000000001</v>
      </c>
      <c r="R69">
        <v>0.55700000000000005</v>
      </c>
      <c r="S69">
        <v>0.112</v>
      </c>
      <c r="T69">
        <v>4.93</v>
      </c>
      <c r="U69">
        <v>13.680999999999999</v>
      </c>
      <c r="V69">
        <v>465.137</v>
      </c>
      <c r="W69">
        <v>-43.8</v>
      </c>
      <c r="X69" t="s">
        <v>47</v>
      </c>
      <c r="Y69" t="s">
        <v>29</v>
      </c>
      <c r="Z69" t="s">
        <v>101</v>
      </c>
    </row>
    <row r="70" spans="1:26" x14ac:dyDescent="0.25">
      <c r="A70" t="s">
        <v>63</v>
      </c>
      <c r="B70">
        <v>0</v>
      </c>
      <c r="C70">
        <v>10.287000000000001</v>
      </c>
      <c r="D70">
        <v>190.29599999999999</v>
      </c>
      <c r="E70">
        <v>10.252000000000001</v>
      </c>
      <c r="F70">
        <v>1083.6220000000001</v>
      </c>
      <c r="G70">
        <v>58.381999999999998</v>
      </c>
      <c r="H70">
        <v>963.98699999999997</v>
      </c>
      <c r="I70">
        <v>1856.0930000000001</v>
      </c>
      <c r="J70">
        <v>892.10699999999997</v>
      </c>
      <c r="K70">
        <v>16</v>
      </c>
      <c r="L70">
        <v>-3.0000000000000001E-3</v>
      </c>
      <c r="M70">
        <v>2</v>
      </c>
      <c r="N70">
        <v>131</v>
      </c>
      <c r="O70">
        <v>57</v>
      </c>
      <c r="P70">
        <v>0</v>
      </c>
      <c r="Q70">
        <v>21.175000000000001</v>
      </c>
      <c r="R70">
        <v>0.52400000000000002</v>
      </c>
      <c r="S70">
        <v>1.9379999999999999</v>
      </c>
      <c r="T70">
        <v>56.192999999999998</v>
      </c>
      <c r="U70">
        <v>41.098999999999997</v>
      </c>
      <c r="V70">
        <v>1150.7650000000001</v>
      </c>
      <c r="W70">
        <v>-43.8</v>
      </c>
      <c r="X70" t="s">
        <v>47</v>
      </c>
      <c r="Y70" t="s">
        <v>29</v>
      </c>
      <c r="Z70" t="s">
        <v>102</v>
      </c>
    </row>
    <row r="71" spans="1:26" x14ac:dyDescent="0.25">
      <c r="A71" t="s">
        <v>63</v>
      </c>
      <c r="B71">
        <v>0</v>
      </c>
      <c r="C71">
        <v>5.7640000000000002</v>
      </c>
      <c r="D71">
        <v>17.966999999999999</v>
      </c>
      <c r="E71">
        <v>0.98</v>
      </c>
      <c r="F71">
        <v>41.588000000000001</v>
      </c>
      <c r="G71">
        <v>2.2690000000000001</v>
      </c>
      <c r="H71">
        <v>1181.828</v>
      </c>
      <c r="I71">
        <v>1832.7570000000001</v>
      </c>
      <c r="J71">
        <v>650.92999999999995</v>
      </c>
      <c r="K71">
        <v>3</v>
      </c>
      <c r="L71">
        <v>-5.6000000000000001E-2</v>
      </c>
      <c r="M71">
        <v>3</v>
      </c>
      <c r="N71">
        <v>131</v>
      </c>
      <c r="O71">
        <v>54</v>
      </c>
      <c r="P71">
        <v>0</v>
      </c>
      <c r="Q71">
        <v>9.2210000000000001</v>
      </c>
      <c r="R71">
        <v>0.38900000000000001</v>
      </c>
      <c r="S71">
        <v>-1.7669999999999999</v>
      </c>
      <c r="T71">
        <v>-45.944000000000003</v>
      </c>
      <c r="U71">
        <v>19.423999999999999</v>
      </c>
      <c r="V71">
        <v>543.86199999999997</v>
      </c>
      <c r="W71">
        <v>-43.6</v>
      </c>
      <c r="X71" t="s">
        <v>47</v>
      </c>
      <c r="Y71" t="s">
        <v>29</v>
      </c>
      <c r="Z71" t="s">
        <v>103</v>
      </c>
    </row>
    <row r="72" spans="1:26" x14ac:dyDescent="0.25">
      <c r="A72" t="s">
        <v>63</v>
      </c>
      <c r="B72">
        <v>0</v>
      </c>
      <c r="C72">
        <v>2.1539999999999999</v>
      </c>
      <c r="D72">
        <v>123.971</v>
      </c>
      <c r="E72">
        <v>8.6780000000000008</v>
      </c>
      <c r="F72">
        <v>268.36399999999998</v>
      </c>
      <c r="G72">
        <v>18.785</v>
      </c>
      <c r="H72">
        <v>784.66200000000003</v>
      </c>
      <c r="I72">
        <v>1428.577</v>
      </c>
      <c r="J72">
        <v>643.91399999999999</v>
      </c>
      <c r="K72">
        <v>15</v>
      </c>
      <c r="L72">
        <v>-6.0000000000000001E-3</v>
      </c>
      <c r="M72">
        <v>2</v>
      </c>
      <c r="N72">
        <v>120</v>
      </c>
      <c r="O72">
        <v>50</v>
      </c>
      <c r="P72">
        <v>0</v>
      </c>
      <c r="Q72">
        <v>5.3010000000000002</v>
      </c>
      <c r="R72">
        <v>0.56999999999999995</v>
      </c>
      <c r="S72">
        <v>-0.38900000000000001</v>
      </c>
      <c r="T72">
        <v>-11.294</v>
      </c>
      <c r="U72">
        <v>13.159000000000001</v>
      </c>
      <c r="V72">
        <v>276.33699999999999</v>
      </c>
      <c r="W72">
        <v>-38.700000000000003</v>
      </c>
      <c r="X72" t="s">
        <v>47</v>
      </c>
      <c r="Y72" t="s">
        <v>35</v>
      </c>
      <c r="Z72" t="s">
        <v>104</v>
      </c>
    </row>
    <row r="73" spans="1:26" x14ac:dyDescent="0.25">
      <c r="A73" t="s">
        <v>63</v>
      </c>
      <c r="B73">
        <v>0</v>
      </c>
      <c r="C73">
        <v>3.2330000000000001</v>
      </c>
      <c r="D73">
        <v>158.721</v>
      </c>
      <c r="E73">
        <v>9.4860000000000007</v>
      </c>
      <c r="F73">
        <v>199.74600000000001</v>
      </c>
      <c r="G73">
        <v>11.936999999999999</v>
      </c>
      <c r="H73">
        <v>927.11</v>
      </c>
      <c r="I73">
        <v>1673.2840000000001</v>
      </c>
      <c r="J73">
        <v>746.17399999999998</v>
      </c>
      <c r="K73">
        <v>15</v>
      </c>
      <c r="L73">
        <v>-0.01</v>
      </c>
      <c r="M73">
        <v>3</v>
      </c>
      <c r="N73">
        <v>120</v>
      </c>
      <c r="O73">
        <v>52</v>
      </c>
      <c r="P73">
        <v>0</v>
      </c>
      <c r="Q73">
        <v>5.1180000000000003</v>
      </c>
      <c r="R73">
        <v>0.68500000000000005</v>
      </c>
      <c r="S73">
        <v>0.57499999999999996</v>
      </c>
      <c r="T73">
        <v>17.260000000000002</v>
      </c>
      <c r="U73">
        <v>11.311</v>
      </c>
      <c r="V73">
        <v>248.851</v>
      </c>
      <c r="W73">
        <v>-35.9</v>
      </c>
      <c r="X73" t="s">
        <v>47</v>
      </c>
      <c r="Y73" t="s">
        <v>35</v>
      </c>
      <c r="Z73" t="s">
        <v>105</v>
      </c>
    </row>
    <row r="74" spans="1:26" x14ac:dyDescent="0.25">
      <c r="A74" t="s">
        <v>63</v>
      </c>
      <c r="B74">
        <v>0</v>
      </c>
      <c r="C74">
        <v>0.72799999999999998</v>
      </c>
      <c r="D74">
        <v>80.227000000000004</v>
      </c>
      <c r="E74">
        <v>5.5209999999999999</v>
      </c>
      <c r="F74">
        <v>80.539000000000001</v>
      </c>
      <c r="G74">
        <v>5.5419999999999998</v>
      </c>
      <c r="H74">
        <v>790.71100000000001</v>
      </c>
      <c r="I74">
        <v>1453.21</v>
      </c>
      <c r="J74">
        <v>662.49900000000002</v>
      </c>
      <c r="K74">
        <v>7</v>
      </c>
      <c r="L74">
        <v>-4.2999999999999997E-2</v>
      </c>
      <c r="M74">
        <v>5</v>
      </c>
      <c r="N74">
        <v>120</v>
      </c>
      <c r="O74">
        <v>47</v>
      </c>
      <c r="P74">
        <v>0</v>
      </c>
      <c r="Q74">
        <v>2.2839999999999998</v>
      </c>
      <c r="R74">
        <v>0.77600000000000002</v>
      </c>
      <c r="S74">
        <v>-0.90900000000000003</v>
      </c>
      <c r="T74">
        <v>-23.63</v>
      </c>
      <c r="U74">
        <v>6.2370000000000001</v>
      </c>
      <c r="V74">
        <v>130.97999999999999</v>
      </c>
      <c r="W74">
        <v>-35.5</v>
      </c>
      <c r="X74" t="s">
        <v>47</v>
      </c>
      <c r="Y74" t="s">
        <v>35</v>
      </c>
      <c r="Z74" t="s">
        <v>106</v>
      </c>
    </row>
    <row r="75" spans="1:26" x14ac:dyDescent="0.25">
      <c r="A75" t="s">
        <v>63</v>
      </c>
      <c r="B75">
        <v>0</v>
      </c>
      <c r="C75">
        <v>1.302</v>
      </c>
      <c r="D75">
        <v>52.615000000000002</v>
      </c>
      <c r="E75">
        <v>3.4420000000000002</v>
      </c>
      <c r="F75">
        <v>134.61500000000001</v>
      </c>
      <c r="G75">
        <v>8.8059999999999992</v>
      </c>
      <c r="H75">
        <v>914.04600000000005</v>
      </c>
      <c r="I75">
        <v>1528.721</v>
      </c>
      <c r="J75">
        <v>614.67499999999995</v>
      </c>
      <c r="K75">
        <v>10</v>
      </c>
      <c r="L75">
        <v>-0.01</v>
      </c>
      <c r="M75">
        <v>1</v>
      </c>
      <c r="N75">
        <v>120</v>
      </c>
      <c r="O75">
        <v>50</v>
      </c>
      <c r="P75">
        <v>0</v>
      </c>
      <c r="Q75">
        <v>3.8849999999999998</v>
      </c>
      <c r="R75">
        <v>0.65400000000000003</v>
      </c>
      <c r="S75">
        <v>-1.3109999999999999</v>
      </c>
      <c r="T75">
        <v>-35.409999999999997</v>
      </c>
      <c r="U75">
        <v>9.9849999999999994</v>
      </c>
      <c r="V75">
        <v>229.66</v>
      </c>
      <c r="W75">
        <v>-35</v>
      </c>
      <c r="X75" t="s">
        <v>47</v>
      </c>
      <c r="Y75" t="s">
        <v>35</v>
      </c>
      <c r="Z75" t="s">
        <v>107</v>
      </c>
    </row>
    <row r="76" spans="1:26" x14ac:dyDescent="0.25">
      <c r="A76" t="s">
        <v>63</v>
      </c>
      <c r="B76">
        <v>0</v>
      </c>
      <c r="C76">
        <v>2.157</v>
      </c>
      <c r="D76">
        <v>110.943</v>
      </c>
      <c r="E76">
        <v>6.85</v>
      </c>
      <c r="F76">
        <v>155.24700000000001</v>
      </c>
      <c r="G76">
        <v>9.5850000000000009</v>
      </c>
      <c r="H76">
        <v>923.19100000000003</v>
      </c>
      <c r="I76">
        <v>1619.675</v>
      </c>
      <c r="J76">
        <v>696.48400000000004</v>
      </c>
      <c r="K76">
        <v>14</v>
      </c>
      <c r="L76">
        <v>-7.0000000000000001E-3</v>
      </c>
      <c r="M76">
        <v>2</v>
      </c>
      <c r="N76">
        <v>120</v>
      </c>
      <c r="O76">
        <v>50</v>
      </c>
      <c r="P76">
        <v>0</v>
      </c>
      <c r="Q76">
        <v>3.7629999999999999</v>
      </c>
      <c r="R76">
        <v>0.64100000000000001</v>
      </c>
      <c r="S76">
        <v>-0.42399999999999999</v>
      </c>
      <c r="T76">
        <v>-12.728</v>
      </c>
      <c r="U76">
        <v>10.044</v>
      </c>
      <c r="V76">
        <v>200.887</v>
      </c>
      <c r="W76">
        <v>-34.9</v>
      </c>
      <c r="X76" t="s">
        <v>47</v>
      </c>
      <c r="Y76" t="s">
        <v>35</v>
      </c>
      <c r="Z76" t="s">
        <v>108</v>
      </c>
    </row>
    <row r="77" spans="1:26" x14ac:dyDescent="0.25">
      <c r="A77" t="s">
        <v>63</v>
      </c>
      <c r="B77">
        <v>0</v>
      </c>
      <c r="C77">
        <v>-0.53700000000000003</v>
      </c>
      <c r="D77">
        <v>0.13</v>
      </c>
      <c r="E77">
        <v>7.0000000000000001E-3</v>
      </c>
      <c r="F77">
        <v>70.430999999999997</v>
      </c>
      <c r="G77">
        <v>3.698</v>
      </c>
      <c r="H77">
        <v>1234.615</v>
      </c>
      <c r="I77">
        <v>1904.7159999999999</v>
      </c>
      <c r="J77">
        <v>670.101</v>
      </c>
      <c r="K77">
        <v>7</v>
      </c>
      <c r="L77">
        <v>-5.0999999999999997E-2</v>
      </c>
      <c r="M77">
        <v>5</v>
      </c>
      <c r="N77">
        <v>120</v>
      </c>
      <c r="O77">
        <v>58</v>
      </c>
      <c r="P77">
        <v>0</v>
      </c>
      <c r="Q77">
        <v>-0.313</v>
      </c>
      <c r="R77">
        <v>0.58599999999999997</v>
      </c>
      <c r="S77">
        <v>-2.036</v>
      </c>
      <c r="T77">
        <v>-67.198999999999998</v>
      </c>
      <c r="U77">
        <v>1.962</v>
      </c>
      <c r="V77">
        <v>49.037999999999997</v>
      </c>
      <c r="W77">
        <v>-34.799999999999997</v>
      </c>
      <c r="X77" t="s">
        <v>47</v>
      </c>
      <c r="Y77" t="s">
        <v>35</v>
      </c>
      <c r="Z77" t="s">
        <v>109</v>
      </c>
    </row>
    <row r="78" spans="1:26" x14ac:dyDescent="0.25">
      <c r="A78" t="s">
        <v>63</v>
      </c>
      <c r="B78">
        <v>0</v>
      </c>
      <c r="C78">
        <v>4.8209999999999997</v>
      </c>
      <c r="D78">
        <v>52.286999999999999</v>
      </c>
      <c r="E78">
        <v>3.089</v>
      </c>
      <c r="F78">
        <v>472.733</v>
      </c>
      <c r="G78">
        <v>27.925000000000001</v>
      </c>
      <c r="H78">
        <v>1072.7239999999999</v>
      </c>
      <c r="I78">
        <v>1692.8620000000001</v>
      </c>
      <c r="J78">
        <v>620.13699999999994</v>
      </c>
      <c r="K78">
        <v>12</v>
      </c>
      <c r="L78">
        <v>-4.0000000000000001E-3</v>
      </c>
      <c r="M78">
        <v>4</v>
      </c>
      <c r="N78">
        <v>120</v>
      </c>
      <c r="O78">
        <v>57</v>
      </c>
      <c r="P78">
        <v>0</v>
      </c>
      <c r="Q78">
        <v>8.2309999999999999</v>
      </c>
      <c r="R78">
        <v>0.622</v>
      </c>
      <c r="S78">
        <v>-1.476</v>
      </c>
      <c r="T78">
        <v>-50.173000000000002</v>
      </c>
      <c r="U78">
        <v>22.58</v>
      </c>
      <c r="V78">
        <v>519.33799999999997</v>
      </c>
      <c r="W78">
        <v>-34.6</v>
      </c>
      <c r="X78" t="s">
        <v>47</v>
      </c>
      <c r="Y78" t="s">
        <v>35</v>
      </c>
      <c r="Z78" t="s">
        <v>110</v>
      </c>
    </row>
    <row r="79" spans="1:26" x14ac:dyDescent="0.25">
      <c r="A79" t="s">
        <v>63</v>
      </c>
      <c r="B79">
        <v>0</v>
      </c>
      <c r="C79">
        <v>3.5390000000000001</v>
      </c>
      <c r="D79">
        <v>64.536000000000001</v>
      </c>
      <c r="E79">
        <v>3.694</v>
      </c>
      <c r="F79">
        <v>225.185</v>
      </c>
      <c r="G79">
        <v>12.888999999999999</v>
      </c>
      <c r="H79">
        <v>1006.179</v>
      </c>
      <c r="I79">
        <v>1747.0540000000001</v>
      </c>
      <c r="J79">
        <v>740.875</v>
      </c>
      <c r="K79">
        <v>13</v>
      </c>
      <c r="L79">
        <v>-3.0000000000000001E-3</v>
      </c>
      <c r="M79">
        <v>2</v>
      </c>
      <c r="N79">
        <v>120</v>
      </c>
      <c r="O79">
        <v>54</v>
      </c>
      <c r="P79">
        <v>0</v>
      </c>
      <c r="Q79">
        <v>8.5340000000000007</v>
      </c>
      <c r="R79">
        <v>0.53300000000000003</v>
      </c>
      <c r="S79">
        <v>-1.036</v>
      </c>
      <c r="T79">
        <v>-34.173999999999999</v>
      </c>
      <c r="U79">
        <v>23.573</v>
      </c>
      <c r="V79">
        <v>495.03199999999998</v>
      </c>
      <c r="W79">
        <v>-34.4</v>
      </c>
      <c r="X79" t="s">
        <v>47</v>
      </c>
      <c r="Y79" t="s">
        <v>35</v>
      </c>
      <c r="Z79" t="s">
        <v>111</v>
      </c>
    </row>
    <row r="80" spans="1:26" x14ac:dyDescent="0.25">
      <c r="A80" t="s">
        <v>63</v>
      </c>
      <c r="B80">
        <v>0</v>
      </c>
      <c r="C80">
        <v>2.3679999999999999</v>
      </c>
      <c r="D80">
        <v>122.229</v>
      </c>
      <c r="E80">
        <v>7.2859999999999996</v>
      </c>
      <c r="F80">
        <v>310.24</v>
      </c>
      <c r="G80">
        <v>18.492000000000001</v>
      </c>
      <c r="H80">
        <v>1098.9169999999999</v>
      </c>
      <c r="I80">
        <v>1677.6659999999999</v>
      </c>
      <c r="J80">
        <v>578.74900000000002</v>
      </c>
      <c r="K80">
        <v>4</v>
      </c>
      <c r="L80">
        <v>-8.0000000000000002E-3</v>
      </c>
      <c r="M80">
        <v>4</v>
      </c>
      <c r="N80">
        <v>120</v>
      </c>
      <c r="O80">
        <v>57</v>
      </c>
      <c r="P80">
        <v>0</v>
      </c>
      <c r="Q80">
        <v>5.1260000000000003</v>
      </c>
      <c r="R80">
        <v>0.5</v>
      </c>
      <c r="S80">
        <v>-0.54800000000000004</v>
      </c>
      <c r="T80">
        <v>-19.178000000000001</v>
      </c>
      <c r="U80">
        <v>14.151999999999999</v>
      </c>
      <c r="V80">
        <v>311.35300000000001</v>
      </c>
      <c r="W80">
        <v>-34.1</v>
      </c>
      <c r="X80" t="s">
        <v>47</v>
      </c>
      <c r="Y80" t="s">
        <v>35</v>
      </c>
      <c r="Z80" t="s">
        <v>112</v>
      </c>
    </row>
    <row r="81" spans="1:26" x14ac:dyDescent="0.25">
      <c r="A81" t="s">
        <v>63</v>
      </c>
      <c r="B81">
        <v>0</v>
      </c>
      <c r="C81">
        <v>4.0030000000000001</v>
      </c>
      <c r="D81">
        <v>108.16500000000001</v>
      </c>
      <c r="E81">
        <v>6.15</v>
      </c>
      <c r="F81">
        <v>534.70399999999995</v>
      </c>
      <c r="G81">
        <v>30.404</v>
      </c>
      <c r="H81">
        <v>946.54499999999996</v>
      </c>
      <c r="I81">
        <v>1758.664</v>
      </c>
      <c r="J81">
        <v>812.11900000000003</v>
      </c>
      <c r="K81">
        <v>22</v>
      </c>
      <c r="L81">
        <v>-4.0000000000000001E-3</v>
      </c>
      <c r="M81">
        <v>1</v>
      </c>
      <c r="N81">
        <v>120</v>
      </c>
      <c r="O81">
        <v>56</v>
      </c>
      <c r="P81">
        <v>0</v>
      </c>
      <c r="Q81">
        <v>9.24</v>
      </c>
      <c r="R81">
        <v>0.63600000000000001</v>
      </c>
      <c r="S81">
        <v>0.108</v>
      </c>
      <c r="T81">
        <v>3.577</v>
      </c>
      <c r="U81">
        <v>22.341999999999999</v>
      </c>
      <c r="V81">
        <v>513.875</v>
      </c>
      <c r="W81">
        <v>-33.9</v>
      </c>
      <c r="X81" t="s">
        <v>47</v>
      </c>
      <c r="Y81" t="s">
        <v>35</v>
      </c>
      <c r="Z81" t="s">
        <v>113</v>
      </c>
    </row>
    <row r="82" spans="1:26" x14ac:dyDescent="0.25">
      <c r="A82" t="s">
        <v>63</v>
      </c>
      <c r="B82">
        <v>0</v>
      </c>
      <c r="C82">
        <v>1.351</v>
      </c>
      <c r="D82">
        <v>5.9169999999999998</v>
      </c>
      <c r="E82">
        <v>0.34799999999999998</v>
      </c>
      <c r="F82">
        <v>54.805999999999997</v>
      </c>
      <c r="G82">
        <v>3.226</v>
      </c>
      <c r="H82">
        <v>786.66899999999998</v>
      </c>
      <c r="I82">
        <v>1698.6569999999999</v>
      </c>
      <c r="J82">
        <v>911.98699999999997</v>
      </c>
      <c r="K82">
        <v>11</v>
      </c>
      <c r="L82">
        <v>-9.4E-2</v>
      </c>
      <c r="M82">
        <v>6</v>
      </c>
      <c r="N82">
        <v>123</v>
      </c>
      <c r="O82">
        <v>43</v>
      </c>
      <c r="P82">
        <v>0</v>
      </c>
      <c r="Q82">
        <v>0.98799999999999999</v>
      </c>
      <c r="R82">
        <v>0.65500000000000003</v>
      </c>
      <c r="S82">
        <v>-2.2040000000000002</v>
      </c>
      <c r="T82">
        <v>-48.488</v>
      </c>
      <c r="U82">
        <v>4.3319999999999999</v>
      </c>
      <c r="V82">
        <v>90.981999999999999</v>
      </c>
      <c r="W82">
        <v>-43.1</v>
      </c>
      <c r="X82" t="s">
        <v>47</v>
      </c>
      <c r="Y82" t="s">
        <v>41</v>
      </c>
      <c r="Z82" t="s">
        <v>114</v>
      </c>
    </row>
    <row r="83" spans="1:26" x14ac:dyDescent="0.25">
      <c r="A83" t="s">
        <v>63</v>
      </c>
      <c r="B83">
        <v>0</v>
      </c>
      <c r="C83">
        <v>0.11700000000000001</v>
      </c>
      <c r="D83">
        <v>45.975000000000001</v>
      </c>
      <c r="E83">
        <v>2.3719999999999999</v>
      </c>
      <c r="F83">
        <v>119.29300000000001</v>
      </c>
      <c r="G83">
        <v>6.1539999999999999</v>
      </c>
      <c r="H83">
        <v>1089.47</v>
      </c>
      <c r="I83">
        <v>1938.4770000000001</v>
      </c>
      <c r="J83">
        <v>849.00699999999995</v>
      </c>
      <c r="K83">
        <v>10</v>
      </c>
      <c r="L83">
        <v>-2.3E-2</v>
      </c>
      <c r="M83">
        <v>4</v>
      </c>
      <c r="N83">
        <v>123</v>
      </c>
      <c r="O83">
        <v>55</v>
      </c>
      <c r="P83">
        <v>0</v>
      </c>
      <c r="Q83">
        <v>1.254</v>
      </c>
      <c r="R83">
        <v>0.50700000000000001</v>
      </c>
      <c r="S83">
        <v>-1.0409999999999999</v>
      </c>
      <c r="T83">
        <v>-30.201000000000001</v>
      </c>
      <c r="U83">
        <v>3.8130000000000002</v>
      </c>
      <c r="V83">
        <v>99.147999999999996</v>
      </c>
      <c r="W83">
        <v>-42.7</v>
      </c>
      <c r="X83" t="s">
        <v>47</v>
      </c>
      <c r="Y83" t="s">
        <v>41</v>
      </c>
      <c r="Z83" t="s">
        <v>115</v>
      </c>
    </row>
    <row r="84" spans="1:26" x14ac:dyDescent="0.25">
      <c r="A84" t="s">
        <v>63</v>
      </c>
      <c r="B84">
        <v>0</v>
      </c>
      <c r="C84">
        <v>-0.19</v>
      </c>
      <c r="D84">
        <v>-6.1950000000000003</v>
      </c>
      <c r="E84">
        <v>-0.35699999999999998</v>
      </c>
      <c r="F84">
        <v>44.435000000000002</v>
      </c>
      <c r="G84">
        <v>2.5609999999999999</v>
      </c>
      <c r="H84">
        <v>922.404</v>
      </c>
      <c r="I84">
        <v>1735.373</v>
      </c>
      <c r="J84">
        <v>812.96900000000005</v>
      </c>
      <c r="K84">
        <v>11</v>
      </c>
      <c r="L84">
        <v>-3.5999999999999997E-2</v>
      </c>
      <c r="M84">
        <v>3</v>
      </c>
      <c r="N84">
        <v>123</v>
      </c>
      <c r="O84">
        <v>58</v>
      </c>
      <c r="P84">
        <v>0</v>
      </c>
      <c r="Q84">
        <v>-0.16200000000000001</v>
      </c>
      <c r="R84">
        <v>0.57999999999999996</v>
      </c>
      <c r="S84">
        <v>-2.2810000000000001</v>
      </c>
      <c r="T84">
        <v>-75.287000000000006</v>
      </c>
      <c r="U84">
        <v>2.6360000000000001</v>
      </c>
      <c r="V84">
        <v>65.896000000000001</v>
      </c>
      <c r="W84">
        <v>-41.9</v>
      </c>
      <c r="X84" t="s">
        <v>47</v>
      </c>
      <c r="Y84" t="s">
        <v>41</v>
      </c>
      <c r="Z84" t="s">
        <v>116</v>
      </c>
    </row>
    <row r="85" spans="1:26" x14ac:dyDescent="0.25">
      <c r="A85" t="s">
        <v>63</v>
      </c>
      <c r="B85">
        <v>0</v>
      </c>
      <c r="C85">
        <v>-0.11899999999999999</v>
      </c>
      <c r="D85">
        <v>-4.165</v>
      </c>
      <c r="E85">
        <v>-0.221</v>
      </c>
      <c r="F85">
        <v>21.879000000000001</v>
      </c>
      <c r="G85">
        <v>1.163</v>
      </c>
      <c r="H85">
        <v>992.89300000000003</v>
      </c>
      <c r="I85">
        <v>1881.0229999999999</v>
      </c>
      <c r="J85">
        <v>888.13</v>
      </c>
      <c r="K85">
        <v>7</v>
      </c>
      <c r="L85">
        <v>-0.17399999999999999</v>
      </c>
      <c r="M85">
        <v>6</v>
      </c>
      <c r="N85">
        <v>123</v>
      </c>
      <c r="O85">
        <v>56</v>
      </c>
      <c r="P85">
        <v>0</v>
      </c>
      <c r="Q85">
        <v>-0.33</v>
      </c>
      <c r="R85">
        <v>0.56299999999999994</v>
      </c>
      <c r="S85">
        <v>-2.3180000000000001</v>
      </c>
      <c r="T85">
        <v>-74.171999999999997</v>
      </c>
      <c r="U85">
        <v>2.3199999999999998</v>
      </c>
      <c r="V85">
        <v>55.673999999999999</v>
      </c>
      <c r="W85">
        <v>-41.7</v>
      </c>
      <c r="X85" t="s">
        <v>47</v>
      </c>
      <c r="Y85" t="s">
        <v>41</v>
      </c>
      <c r="Z85" t="s">
        <v>117</v>
      </c>
    </row>
    <row r="86" spans="1:26" x14ac:dyDescent="0.25">
      <c r="A86" t="s">
        <v>63</v>
      </c>
      <c r="B86">
        <v>0</v>
      </c>
      <c r="C86">
        <v>0.86299999999999999</v>
      </c>
      <c r="D86">
        <v>5.4340000000000002</v>
      </c>
      <c r="E86">
        <v>0.38700000000000001</v>
      </c>
      <c r="F86">
        <v>35.878999999999998</v>
      </c>
      <c r="G86">
        <v>2.5590000000000002</v>
      </c>
      <c r="H86">
        <v>747.274</v>
      </c>
      <c r="I86">
        <v>1402.261</v>
      </c>
      <c r="J86">
        <v>654.98699999999997</v>
      </c>
      <c r="K86">
        <v>12</v>
      </c>
      <c r="L86">
        <v>-0.06</v>
      </c>
      <c r="M86">
        <v>3</v>
      </c>
      <c r="N86">
        <v>123</v>
      </c>
      <c r="O86">
        <v>43</v>
      </c>
      <c r="P86">
        <v>0</v>
      </c>
      <c r="Q86">
        <v>0.40500000000000003</v>
      </c>
      <c r="R86">
        <v>0.61699999999999999</v>
      </c>
      <c r="S86">
        <v>-1.542</v>
      </c>
      <c r="T86">
        <v>-35.472000000000001</v>
      </c>
      <c r="U86">
        <v>2.6440000000000001</v>
      </c>
      <c r="V86">
        <v>52.881999999999998</v>
      </c>
      <c r="W86">
        <v>-41.6</v>
      </c>
      <c r="X86" t="s">
        <v>47</v>
      </c>
      <c r="Y86" t="s">
        <v>41</v>
      </c>
      <c r="Z86" t="s">
        <v>118</v>
      </c>
    </row>
    <row r="87" spans="1:26" x14ac:dyDescent="0.25">
      <c r="A87" t="s">
        <v>63</v>
      </c>
      <c r="B87">
        <v>0</v>
      </c>
      <c r="C87">
        <v>1.657</v>
      </c>
      <c r="D87">
        <v>197.00200000000001</v>
      </c>
      <c r="E87">
        <v>12.353</v>
      </c>
      <c r="F87">
        <v>270.39699999999999</v>
      </c>
      <c r="G87">
        <v>16.954999999999998</v>
      </c>
      <c r="H87">
        <v>930.71600000000001</v>
      </c>
      <c r="I87">
        <v>1594.7809999999999</v>
      </c>
      <c r="J87">
        <v>664.06500000000005</v>
      </c>
      <c r="K87">
        <v>10</v>
      </c>
      <c r="L87">
        <v>-4.0000000000000001E-3</v>
      </c>
      <c r="M87">
        <v>5</v>
      </c>
      <c r="N87">
        <v>123</v>
      </c>
      <c r="O87">
        <v>55</v>
      </c>
      <c r="P87">
        <v>0</v>
      </c>
      <c r="Q87">
        <v>4.032</v>
      </c>
      <c r="R87">
        <v>0.55200000000000005</v>
      </c>
      <c r="S87">
        <v>1.3919999999999999</v>
      </c>
      <c r="T87">
        <v>40.354999999999997</v>
      </c>
      <c r="U87">
        <v>6.976</v>
      </c>
      <c r="V87">
        <v>181.381</v>
      </c>
      <c r="W87">
        <v>-41.6</v>
      </c>
      <c r="X87" t="s">
        <v>47</v>
      </c>
      <c r="Y87" t="s">
        <v>41</v>
      </c>
      <c r="Z87" t="s">
        <v>119</v>
      </c>
    </row>
    <row r="88" spans="1:26" x14ac:dyDescent="0.25">
      <c r="A88" t="s">
        <v>63</v>
      </c>
      <c r="B88">
        <v>0</v>
      </c>
      <c r="C88">
        <v>2.7679999999999998</v>
      </c>
      <c r="D88">
        <v>231.292</v>
      </c>
      <c r="E88">
        <v>12.15</v>
      </c>
      <c r="F88">
        <v>323.476</v>
      </c>
      <c r="G88">
        <v>16.992000000000001</v>
      </c>
      <c r="H88">
        <v>1054.914</v>
      </c>
      <c r="I88">
        <v>1903.712</v>
      </c>
      <c r="J88">
        <v>848.79899999999998</v>
      </c>
      <c r="K88">
        <v>20</v>
      </c>
      <c r="L88">
        <v>-1E-3</v>
      </c>
      <c r="M88">
        <v>2</v>
      </c>
      <c r="N88">
        <v>123</v>
      </c>
      <c r="O88">
        <v>61</v>
      </c>
      <c r="P88">
        <v>0</v>
      </c>
      <c r="Q88">
        <v>5.3710000000000004</v>
      </c>
      <c r="R88">
        <v>0.60299999999999998</v>
      </c>
      <c r="S88">
        <v>1.2809999999999999</v>
      </c>
      <c r="T88">
        <v>42.256999999999998</v>
      </c>
      <c r="U88">
        <v>10.191000000000001</v>
      </c>
      <c r="V88">
        <v>285.35000000000002</v>
      </c>
      <c r="W88">
        <v>-41.6</v>
      </c>
      <c r="X88" t="s">
        <v>47</v>
      </c>
      <c r="Y88" t="s">
        <v>41</v>
      </c>
      <c r="Z88" t="s">
        <v>120</v>
      </c>
    </row>
    <row r="89" spans="1:26" x14ac:dyDescent="0.25">
      <c r="A89" t="s">
        <v>63</v>
      </c>
      <c r="B89">
        <v>0</v>
      </c>
      <c r="C89">
        <v>0.44700000000000001</v>
      </c>
      <c r="D89">
        <v>23.785</v>
      </c>
      <c r="E89">
        <v>1.214</v>
      </c>
      <c r="F89">
        <v>57.165999999999997</v>
      </c>
      <c r="G89">
        <v>2.9180000000000001</v>
      </c>
      <c r="H89">
        <v>1061.587</v>
      </c>
      <c r="I89">
        <v>1958.894</v>
      </c>
      <c r="J89">
        <v>897.30700000000002</v>
      </c>
      <c r="K89">
        <v>11</v>
      </c>
      <c r="L89">
        <v>-5.0999999999999997E-2</v>
      </c>
      <c r="M89">
        <v>3</v>
      </c>
      <c r="N89">
        <v>123</v>
      </c>
      <c r="O89">
        <v>59</v>
      </c>
      <c r="P89">
        <v>0</v>
      </c>
      <c r="Q89">
        <v>0.77200000000000002</v>
      </c>
      <c r="R89">
        <v>0.496</v>
      </c>
      <c r="S89">
        <v>-1.4970000000000001</v>
      </c>
      <c r="T89">
        <v>-49.389000000000003</v>
      </c>
      <c r="U89">
        <v>3.6509999999999998</v>
      </c>
      <c r="V89">
        <v>94.936000000000007</v>
      </c>
      <c r="W89">
        <v>-41.4</v>
      </c>
      <c r="X89" t="s">
        <v>47</v>
      </c>
      <c r="Y89" t="s">
        <v>41</v>
      </c>
      <c r="Z89" t="s">
        <v>121</v>
      </c>
    </row>
    <row r="90" spans="1:26" x14ac:dyDescent="0.25">
      <c r="A90" t="s">
        <v>63</v>
      </c>
      <c r="B90">
        <v>0</v>
      </c>
      <c r="C90">
        <v>0.27500000000000002</v>
      </c>
      <c r="D90">
        <v>21.738</v>
      </c>
      <c r="E90">
        <v>1.2130000000000001</v>
      </c>
      <c r="F90">
        <v>96.957999999999998</v>
      </c>
      <c r="G90">
        <v>5.4089999999999998</v>
      </c>
      <c r="H90">
        <v>874.08399999999995</v>
      </c>
      <c r="I90">
        <v>1792.653</v>
      </c>
      <c r="J90">
        <v>918.56799999999998</v>
      </c>
      <c r="K90">
        <v>13</v>
      </c>
      <c r="L90">
        <v>-5.0999999999999997E-2</v>
      </c>
      <c r="M90">
        <v>7</v>
      </c>
      <c r="N90">
        <v>123</v>
      </c>
      <c r="O90">
        <v>55</v>
      </c>
      <c r="P90">
        <v>0</v>
      </c>
      <c r="Q90">
        <v>1.4830000000000001</v>
      </c>
      <c r="R90">
        <v>0.51600000000000001</v>
      </c>
      <c r="S90">
        <v>-1.179</v>
      </c>
      <c r="T90">
        <v>-33.002000000000002</v>
      </c>
      <c r="U90">
        <v>4.2430000000000003</v>
      </c>
      <c r="V90">
        <v>114.55200000000001</v>
      </c>
      <c r="W90">
        <v>-40.9</v>
      </c>
      <c r="X90" t="s">
        <v>47</v>
      </c>
      <c r="Y90" t="s">
        <v>41</v>
      </c>
      <c r="Z90" t="s">
        <v>122</v>
      </c>
    </row>
    <row r="91" spans="1:26" x14ac:dyDescent="0.25">
      <c r="A91" t="s">
        <v>63</v>
      </c>
      <c r="B91">
        <v>0</v>
      </c>
      <c r="C91">
        <v>0.64100000000000001</v>
      </c>
      <c r="D91">
        <v>41.737000000000002</v>
      </c>
      <c r="E91">
        <v>2.516</v>
      </c>
      <c r="F91">
        <v>59.959000000000003</v>
      </c>
      <c r="G91">
        <v>3.6150000000000002</v>
      </c>
      <c r="H91">
        <v>918.61</v>
      </c>
      <c r="I91">
        <v>1658.816</v>
      </c>
      <c r="J91">
        <v>740.20699999999999</v>
      </c>
      <c r="K91">
        <v>8</v>
      </c>
      <c r="L91">
        <v>-0.01</v>
      </c>
      <c r="M91">
        <v>1</v>
      </c>
      <c r="N91">
        <v>123</v>
      </c>
      <c r="O91">
        <v>50</v>
      </c>
      <c r="P91">
        <v>0</v>
      </c>
      <c r="Q91">
        <v>0.56599999999999995</v>
      </c>
      <c r="R91">
        <v>0.53800000000000003</v>
      </c>
      <c r="S91">
        <v>-1.5289999999999999</v>
      </c>
      <c r="T91">
        <v>-44.348999999999997</v>
      </c>
      <c r="U91">
        <v>3.4590000000000001</v>
      </c>
      <c r="V91">
        <v>72.641000000000005</v>
      </c>
      <c r="W91">
        <v>-40.9</v>
      </c>
      <c r="X91" t="s">
        <v>47</v>
      </c>
      <c r="Y91" t="s">
        <v>41</v>
      </c>
      <c r="Z91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737F-DBA5-4BAC-A02D-8056E3BBC74E}">
  <dimension ref="A1:Z68"/>
  <sheetViews>
    <sheetView tabSelected="1" topLeftCell="A37" workbookViewId="0">
      <selection activeCell="S29" sqref="S29"/>
    </sheetView>
  </sheetViews>
  <sheetFormatPr defaultRowHeight="15" outlineLevelRow="2" x14ac:dyDescent="0.25"/>
  <cols>
    <col min="1" max="1" width="7.7109375" bestFit="1" customWidth="1"/>
    <col min="2" max="2" width="10.7109375" bestFit="1" customWidth="1"/>
    <col min="3" max="3" width="19.5703125" bestFit="1" customWidth="1"/>
    <col min="5" max="5" width="19.42578125" bestFit="1" customWidth="1"/>
    <col min="6" max="6" width="13.28515625" bestFit="1" customWidth="1"/>
    <col min="7" max="7" width="23.5703125" bestFit="1" customWidth="1"/>
    <col min="8" max="8" width="14.7109375" bestFit="1" customWidth="1"/>
    <col min="9" max="9" width="9.5703125" bestFit="1" customWidth="1"/>
    <col min="10" max="10" width="12" bestFit="1" customWidth="1"/>
    <col min="11" max="11" width="18.42578125" bestFit="1" customWidth="1"/>
    <col min="12" max="12" width="16.42578125" bestFit="1" customWidth="1"/>
    <col min="13" max="13" width="10.85546875" bestFit="1" customWidth="1"/>
    <col min="14" max="15" width="8" bestFit="1" customWidth="1"/>
    <col min="16" max="16" width="8.5703125" bestFit="1" customWidth="1"/>
    <col min="17" max="17" width="21.42578125" bestFit="1" customWidth="1"/>
    <col min="18" max="18" width="8.5703125" bestFit="1" customWidth="1"/>
    <col min="19" max="19" width="16.7109375" bestFit="1" customWidth="1"/>
    <col min="20" max="20" width="11.42578125" bestFit="1" customWidth="1"/>
    <col min="21" max="21" width="16.7109375" bestFit="1" customWidth="1"/>
    <col min="22" max="22" width="11.42578125" bestFit="1" customWidth="1"/>
    <col min="23" max="23" width="12.28515625" bestFit="1" customWidth="1"/>
    <col min="24" max="24" width="7.5703125" bestFit="1" customWidth="1"/>
    <col min="25" max="25" width="8.7109375" bestFit="1" customWidth="1"/>
    <col min="26" max="26" width="48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outlineLevel="2" x14ac:dyDescent="0.25">
      <c r="A2" t="s">
        <v>63</v>
      </c>
      <c r="B2">
        <v>0</v>
      </c>
      <c r="C2">
        <v>0.34399999999999997</v>
      </c>
      <c r="D2">
        <v>11.831</v>
      </c>
      <c r="E2">
        <v>0.55000000000000004</v>
      </c>
      <c r="F2">
        <v>80.113</v>
      </c>
      <c r="G2">
        <v>3.7240000000000002</v>
      </c>
      <c r="H2">
        <v>1124.5039999999999</v>
      </c>
      <c r="I2">
        <v>2151.4940000000001</v>
      </c>
      <c r="J2">
        <v>1026.99</v>
      </c>
      <c r="K2">
        <v>33</v>
      </c>
      <c r="L2">
        <v>-1E-3</v>
      </c>
      <c r="M2">
        <v>1</v>
      </c>
      <c r="N2">
        <v>114</v>
      </c>
      <c r="O2">
        <v>66</v>
      </c>
      <c r="P2">
        <v>0</v>
      </c>
      <c r="Q2">
        <v>1.139</v>
      </c>
      <c r="R2">
        <v>0.60199999999999998</v>
      </c>
      <c r="S2">
        <v>-1.605</v>
      </c>
      <c r="T2">
        <v>-52.962000000000003</v>
      </c>
      <c r="U2">
        <v>3.883</v>
      </c>
      <c r="V2">
        <v>128.13300000000001</v>
      </c>
      <c r="W2">
        <v>-49.1</v>
      </c>
      <c r="X2" t="s">
        <v>28</v>
      </c>
      <c r="Y2" t="s">
        <v>29</v>
      </c>
      <c r="Z2" t="s">
        <v>64</v>
      </c>
    </row>
    <row r="3" spans="1:26" outlineLevel="2" x14ac:dyDescent="0.25">
      <c r="A3" t="s">
        <v>63</v>
      </c>
      <c r="B3">
        <v>0</v>
      </c>
      <c r="C3">
        <v>2.13</v>
      </c>
      <c r="D3">
        <v>199.774</v>
      </c>
      <c r="E3">
        <v>9.6890000000000001</v>
      </c>
      <c r="F3">
        <v>313.05599999999998</v>
      </c>
      <c r="G3">
        <v>15.182</v>
      </c>
      <c r="H3">
        <v>1197.693</v>
      </c>
      <c r="I3">
        <v>2061.953</v>
      </c>
      <c r="J3">
        <v>864.26</v>
      </c>
      <c r="K3">
        <v>26</v>
      </c>
      <c r="L3">
        <v>-7.0000000000000001E-3</v>
      </c>
      <c r="M3">
        <v>2</v>
      </c>
      <c r="N3">
        <v>114</v>
      </c>
      <c r="O3">
        <v>68</v>
      </c>
      <c r="P3">
        <v>0</v>
      </c>
      <c r="Q3">
        <v>4.532</v>
      </c>
      <c r="R3">
        <v>0.48199999999999998</v>
      </c>
      <c r="S3">
        <v>1.1850000000000001</v>
      </c>
      <c r="T3">
        <v>41.475000000000001</v>
      </c>
      <c r="U3">
        <v>8.0820000000000007</v>
      </c>
      <c r="V3">
        <v>266.71600000000001</v>
      </c>
      <c r="W3">
        <v>-48.6</v>
      </c>
      <c r="X3" t="s">
        <v>28</v>
      </c>
      <c r="Y3" t="s">
        <v>29</v>
      </c>
      <c r="Z3" t="s">
        <v>65</v>
      </c>
    </row>
    <row r="4" spans="1:26" outlineLevel="2" x14ac:dyDescent="0.25">
      <c r="A4" t="s">
        <v>63</v>
      </c>
      <c r="B4">
        <v>0</v>
      </c>
      <c r="C4">
        <v>0.61599999999999999</v>
      </c>
      <c r="D4">
        <v>75.165999999999997</v>
      </c>
      <c r="E4">
        <v>2.9980000000000002</v>
      </c>
      <c r="F4">
        <v>166.84200000000001</v>
      </c>
      <c r="G4">
        <v>6.6539999999999999</v>
      </c>
      <c r="H4">
        <v>1479.9860000000001</v>
      </c>
      <c r="I4">
        <v>2507.4229999999998</v>
      </c>
      <c r="J4">
        <v>1027.4369999999999</v>
      </c>
      <c r="K4">
        <v>9</v>
      </c>
      <c r="L4">
        <v>-5.0000000000000001E-3</v>
      </c>
      <c r="M4">
        <v>1</v>
      </c>
      <c r="N4">
        <v>114</v>
      </c>
      <c r="O4">
        <v>77</v>
      </c>
      <c r="P4">
        <v>0</v>
      </c>
      <c r="Q4">
        <v>1.776</v>
      </c>
      <c r="R4">
        <v>0.56200000000000006</v>
      </c>
      <c r="S4">
        <v>-1.127</v>
      </c>
      <c r="T4">
        <v>-47.317</v>
      </c>
      <c r="U4">
        <v>5.26</v>
      </c>
      <c r="V4">
        <v>184.08600000000001</v>
      </c>
      <c r="W4">
        <v>-48.4</v>
      </c>
      <c r="X4" t="s">
        <v>28</v>
      </c>
      <c r="Y4" t="s">
        <v>29</v>
      </c>
      <c r="Z4" t="s">
        <v>66</v>
      </c>
    </row>
    <row r="5" spans="1:26" outlineLevel="2" x14ac:dyDescent="0.25">
      <c r="A5" t="s">
        <v>63</v>
      </c>
      <c r="B5">
        <v>0</v>
      </c>
      <c r="C5">
        <v>2.4249999999999998</v>
      </c>
      <c r="D5">
        <v>82.350999999999999</v>
      </c>
      <c r="E5">
        <v>5.3440000000000003</v>
      </c>
      <c r="F5">
        <v>97.454999999999998</v>
      </c>
      <c r="G5">
        <v>6.3239999999999998</v>
      </c>
      <c r="H5">
        <v>968.48699999999997</v>
      </c>
      <c r="I5">
        <v>1541.1089999999999</v>
      </c>
      <c r="J5">
        <v>572.62099999999998</v>
      </c>
      <c r="K5">
        <v>1</v>
      </c>
      <c r="L5">
        <v>0</v>
      </c>
      <c r="M5">
        <v>0</v>
      </c>
      <c r="N5">
        <v>114</v>
      </c>
      <c r="O5">
        <v>51</v>
      </c>
      <c r="P5">
        <v>0</v>
      </c>
      <c r="Q5">
        <v>1.357</v>
      </c>
      <c r="R5">
        <v>0.61299999999999999</v>
      </c>
      <c r="S5">
        <v>-0.374</v>
      </c>
      <c r="T5">
        <v>-9.7219999999999995</v>
      </c>
      <c r="U5">
        <v>3.1579999999999999</v>
      </c>
      <c r="V5">
        <v>78.953999999999994</v>
      </c>
      <c r="W5">
        <v>-47</v>
      </c>
      <c r="X5" t="s">
        <v>28</v>
      </c>
      <c r="Y5" t="s">
        <v>29</v>
      </c>
      <c r="Z5" t="s">
        <v>67</v>
      </c>
    </row>
    <row r="6" spans="1:26" outlineLevel="2" x14ac:dyDescent="0.25">
      <c r="A6" t="s">
        <v>63</v>
      </c>
      <c r="B6">
        <v>0</v>
      </c>
      <c r="C6">
        <v>-0.13600000000000001</v>
      </c>
      <c r="D6">
        <v>27.83</v>
      </c>
      <c r="E6">
        <v>1.3859999999999999</v>
      </c>
      <c r="F6">
        <v>71.048000000000002</v>
      </c>
      <c r="G6">
        <v>3.5379999999999998</v>
      </c>
      <c r="H6">
        <v>1009.929</v>
      </c>
      <c r="I6">
        <v>2008.0409999999999</v>
      </c>
      <c r="J6">
        <v>998.11300000000006</v>
      </c>
      <c r="K6">
        <v>21</v>
      </c>
      <c r="L6">
        <v>-1.9E-2</v>
      </c>
      <c r="M6">
        <v>4</v>
      </c>
      <c r="N6">
        <v>114</v>
      </c>
      <c r="O6">
        <v>66</v>
      </c>
      <c r="P6">
        <v>0</v>
      </c>
      <c r="Q6">
        <v>0.74199999999999999</v>
      </c>
      <c r="R6">
        <v>0.57199999999999995</v>
      </c>
      <c r="S6">
        <v>-1.6579999999999999</v>
      </c>
      <c r="T6">
        <v>-54.725999999999999</v>
      </c>
      <c r="U6">
        <v>3.1429999999999998</v>
      </c>
      <c r="V6">
        <v>103.727</v>
      </c>
      <c r="W6">
        <v>-46.9</v>
      </c>
      <c r="X6" t="s">
        <v>28</v>
      </c>
      <c r="Y6" t="s">
        <v>29</v>
      </c>
      <c r="Z6" t="s">
        <v>68</v>
      </c>
    </row>
    <row r="7" spans="1:26" outlineLevel="2" x14ac:dyDescent="0.25">
      <c r="A7" t="s">
        <v>63</v>
      </c>
      <c r="B7">
        <v>0</v>
      </c>
      <c r="C7">
        <v>3.7469999999999999</v>
      </c>
      <c r="D7">
        <v>84.983999999999995</v>
      </c>
      <c r="E7">
        <v>5.7060000000000004</v>
      </c>
      <c r="F7">
        <v>123.842</v>
      </c>
      <c r="G7">
        <v>8.3149999999999995</v>
      </c>
      <c r="H7">
        <v>753.745</v>
      </c>
      <c r="I7">
        <v>1489.4459999999999</v>
      </c>
      <c r="J7">
        <v>735.70100000000002</v>
      </c>
      <c r="K7">
        <v>7</v>
      </c>
      <c r="L7">
        <v>-2.7E-2</v>
      </c>
      <c r="M7">
        <v>5</v>
      </c>
      <c r="N7">
        <v>114</v>
      </c>
      <c r="O7">
        <v>47</v>
      </c>
      <c r="P7">
        <v>0</v>
      </c>
      <c r="Q7">
        <v>5.7069999999999999</v>
      </c>
      <c r="R7">
        <v>0.56799999999999995</v>
      </c>
      <c r="S7">
        <v>2E-3</v>
      </c>
      <c r="T7">
        <v>4.1000000000000002E-2</v>
      </c>
      <c r="U7">
        <v>11.175000000000001</v>
      </c>
      <c r="V7">
        <v>268.2</v>
      </c>
      <c r="W7">
        <v>-46.8</v>
      </c>
      <c r="X7" t="s">
        <v>28</v>
      </c>
      <c r="Y7" t="s">
        <v>29</v>
      </c>
      <c r="Z7" t="s">
        <v>69</v>
      </c>
    </row>
    <row r="8" spans="1:26" outlineLevel="2" x14ac:dyDescent="0.25">
      <c r="A8" t="s">
        <v>63</v>
      </c>
      <c r="B8">
        <v>0</v>
      </c>
      <c r="C8">
        <v>-8.4000000000000005E-2</v>
      </c>
      <c r="D8">
        <v>20.143999999999998</v>
      </c>
      <c r="E8">
        <v>1.0249999999999999</v>
      </c>
      <c r="F8">
        <v>49.292999999999999</v>
      </c>
      <c r="G8">
        <v>2.5089999999999999</v>
      </c>
      <c r="H8">
        <v>989.553</v>
      </c>
      <c r="I8">
        <v>1964.886</v>
      </c>
      <c r="J8">
        <v>975.33299999999997</v>
      </c>
      <c r="K8">
        <v>15</v>
      </c>
      <c r="L8">
        <v>-0.05</v>
      </c>
      <c r="M8">
        <v>5</v>
      </c>
      <c r="N8">
        <v>114</v>
      </c>
      <c r="O8">
        <v>60</v>
      </c>
      <c r="P8">
        <v>0</v>
      </c>
      <c r="Q8">
        <v>0.748</v>
      </c>
      <c r="R8">
        <v>0.54500000000000004</v>
      </c>
      <c r="S8">
        <v>-1.171</v>
      </c>
      <c r="T8">
        <v>-31.609000000000002</v>
      </c>
      <c r="U8">
        <v>2.3180000000000001</v>
      </c>
      <c r="V8">
        <v>76.481999999999999</v>
      </c>
      <c r="W8">
        <v>-46.5</v>
      </c>
      <c r="X8" t="s">
        <v>28</v>
      </c>
      <c r="Y8" t="s">
        <v>29</v>
      </c>
      <c r="Z8" t="s">
        <v>70</v>
      </c>
    </row>
    <row r="9" spans="1:26" outlineLevel="2" x14ac:dyDescent="0.25">
      <c r="A9" t="s">
        <v>63</v>
      </c>
      <c r="B9">
        <v>0</v>
      </c>
      <c r="C9">
        <v>3.2480000000000002</v>
      </c>
      <c r="D9">
        <v>89.228999999999999</v>
      </c>
      <c r="E9">
        <v>5.4219999999999997</v>
      </c>
      <c r="F9">
        <v>123.529</v>
      </c>
      <c r="G9">
        <v>7.5060000000000002</v>
      </c>
      <c r="H9">
        <v>931.61</v>
      </c>
      <c r="I9">
        <v>1645.6320000000001</v>
      </c>
      <c r="J9">
        <v>714.02200000000005</v>
      </c>
      <c r="K9">
        <v>7</v>
      </c>
      <c r="L9">
        <v>-1.7000000000000001E-2</v>
      </c>
      <c r="M9">
        <v>4</v>
      </c>
      <c r="N9">
        <v>114</v>
      </c>
      <c r="O9">
        <v>53</v>
      </c>
      <c r="P9">
        <v>0</v>
      </c>
      <c r="Q9">
        <v>1.9359999999999999</v>
      </c>
      <c r="R9">
        <v>0.58699999999999997</v>
      </c>
      <c r="S9">
        <v>-0.38800000000000001</v>
      </c>
      <c r="T9">
        <v>-10.478999999999999</v>
      </c>
      <c r="U9">
        <v>4.3499999999999996</v>
      </c>
      <c r="V9">
        <v>113.1</v>
      </c>
      <c r="W9">
        <v>-46.3</v>
      </c>
      <c r="X9" t="s">
        <v>28</v>
      </c>
      <c r="Y9" t="s">
        <v>29</v>
      </c>
      <c r="Z9" t="s">
        <v>71</v>
      </c>
    </row>
    <row r="10" spans="1:26" outlineLevel="2" x14ac:dyDescent="0.25">
      <c r="A10" t="s">
        <v>63</v>
      </c>
      <c r="B10">
        <v>0</v>
      </c>
      <c r="C10">
        <v>1.181</v>
      </c>
      <c r="D10">
        <v>-13.055999999999999</v>
      </c>
      <c r="E10">
        <v>-0.77900000000000003</v>
      </c>
      <c r="F10">
        <v>1.64</v>
      </c>
      <c r="G10">
        <v>9.8000000000000004E-2</v>
      </c>
      <c r="H10">
        <v>707.94399999999996</v>
      </c>
      <c r="I10">
        <v>1675.8489999999999</v>
      </c>
      <c r="J10">
        <v>967.90499999999997</v>
      </c>
      <c r="K10">
        <v>8</v>
      </c>
      <c r="L10">
        <v>-2.105</v>
      </c>
      <c r="M10">
        <v>4</v>
      </c>
      <c r="N10">
        <v>114</v>
      </c>
      <c r="O10">
        <v>49</v>
      </c>
      <c r="P10">
        <v>0</v>
      </c>
      <c r="Q10">
        <v>2.97</v>
      </c>
      <c r="R10">
        <v>0.439</v>
      </c>
      <c r="S10">
        <v>-2.028</v>
      </c>
      <c r="T10">
        <v>-48.67</v>
      </c>
      <c r="U10">
        <v>7.7679999999999998</v>
      </c>
      <c r="V10">
        <v>194.19499999999999</v>
      </c>
      <c r="W10">
        <v>-46.2</v>
      </c>
      <c r="X10" t="s">
        <v>28</v>
      </c>
      <c r="Y10" t="s">
        <v>29</v>
      </c>
      <c r="Z10" t="s">
        <v>72</v>
      </c>
    </row>
    <row r="11" spans="1:26" outlineLevel="2" x14ac:dyDescent="0.25">
      <c r="A11" t="s">
        <v>63</v>
      </c>
      <c r="B11">
        <v>0</v>
      </c>
      <c r="C11">
        <v>2.9849999999999999</v>
      </c>
      <c r="D11">
        <v>4.7859999999999996</v>
      </c>
      <c r="E11">
        <v>0.29599999999999999</v>
      </c>
      <c r="F11">
        <v>25.468</v>
      </c>
      <c r="G11">
        <v>1.575</v>
      </c>
      <c r="H11">
        <v>713.79300000000001</v>
      </c>
      <c r="I11">
        <v>1617.001</v>
      </c>
      <c r="J11">
        <v>903.20799999999997</v>
      </c>
      <c r="K11">
        <v>8</v>
      </c>
      <c r="L11">
        <v>-0.19400000000000001</v>
      </c>
      <c r="M11">
        <v>8</v>
      </c>
      <c r="N11">
        <v>114</v>
      </c>
      <c r="O11">
        <v>51</v>
      </c>
      <c r="P11">
        <v>0</v>
      </c>
      <c r="Q11">
        <v>0.57399999999999995</v>
      </c>
      <c r="R11">
        <v>0.53900000000000003</v>
      </c>
      <c r="S11">
        <v>-1.712</v>
      </c>
      <c r="T11">
        <v>-41.097000000000001</v>
      </c>
      <c r="U11">
        <v>2.6059999999999999</v>
      </c>
      <c r="V11">
        <v>70.373000000000005</v>
      </c>
      <c r="W11">
        <v>-46.1</v>
      </c>
      <c r="X11" t="s">
        <v>28</v>
      </c>
      <c r="Y11" t="s">
        <v>29</v>
      </c>
      <c r="Z11" t="s">
        <v>73</v>
      </c>
    </row>
    <row r="12" spans="1:26" outlineLevel="1" x14ac:dyDescent="0.25">
      <c r="I12">
        <f>SUBTOTAL(1,I2:I11)</f>
        <v>1866.2833999999998</v>
      </c>
      <c r="M12">
        <f>SUBTOTAL(1,M2:M11)</f>
        <v>3.4</v>
      </c>
      <c r="Y12" s="1" t="s">
        <v>125</v>
      </c>
    </row>
    <row r="13" spans="1:26" outlineLevel="2" x14ac:dyDescent="0.25">
      <c r="A13" t="s">
        <v>63</v>
      </c>
      <c r="B13">
        <v>0</v>
      </c>
      <c r="C13">
        <v>1.5089999999999999</v>
      </c>
      <c r="D13">
        <v>115.328</v>
      </c>
      <c r="E13">
        <v>7.0490000000000004</v>
      </c>
      <c r="F13">
        <v>192.92400000000001</v>
      </c>
      <c r="G13">
        <v>11.792</v>
      </c>
      <c r="H13">
        <v>1042.67</v>
      </c>
      <c r="I13">
        <v>1636.046</v>
      </c>
      <c r="J13">
        <v>593.37599999999998</v>
      </c>
      <c r="K13">
        <v>6</v>
      </c>
      <c r="L13">
        <v>-3.0000000000000001E-3</v>
      </c>
      <c r="M13">
        <v>1</v>
      </c>
      <c r="N13">
        <v>103</v>
      </c>
      <c r="O13">
        <v>59</v>
      </c>
      <c r="P13">
        <v>0</v>
      </c>
      <c r="Q13">
        <v>3.0590000000000002</v>
      </c>
      <c r="R13">
        <v>0.48599999999999999</v>
      </c>
      <c r="S13">
        <v>-0.93899999999999995</v>
      </c>
      <c r="T13">
        <v>-34.741</v>
      </c>
      <c r="U13">
        <v>9.7810000000000006</v>
      </c>
      <c r="V13">
        <v>215.19300000000001</v>
      </c>
      <c r="W13">
        <v>-36.299999999999997</v>
      </c>
      <c r="X13" t="s">
        <v>28</v>
      </c>
      <c r="Y13" t="s">
        <v>35</v>
      </c>
      <c r="Z13" t="s">
        <v>74</v>
      </c>
    </row>
    <row r="14" spans="1:26" outlineLevel="2" x14ac:dyDescent="0.25">
      <c r="A14" t="s">
        <v>63</v>
      </c>
      <c r="B14">
        <v>0</v>
      </c>
      <c r="C14">
        <v>1.5509999999999999</v>
      </c>
      <c r="D14">
        <v>122.943</v>
      </c>
      <c r="E14">
        <v>7.8170000000000002</v>
      </c>
      <c r="F14">
        <v>259.113</v>
      </c>
      <c r="G14">
        <v>16.475000000000001</v>
      </c>
      <c r="H14">
        <v>1065.0609999999999</v>
      </c>
      <c r="I14">
        <v>1572.749</v>
      </c>
      <c r="J14">
        <v>507.68799999999999</v>
      </c>
      <c r="K14">
        <v>10</v>
      </c>
      <c r="L14">
        <v>-6.0000000000000001E-3</v>
      </c>
      <c r="M14">
        <v>2</v>
      </c>
      <c r="N14">
        <v>103</v>
      </c>
      <c r="O14">
        <v>55</v>
      </c>
      <c r="P14">
        <v>0</v>
      </c>
      <c r="Q14">
        <v>3.89</v>
      </c>
      <c r="R14">
        <v>0.51900000000000002</v>
      </c>
      <c r="S14">
        <v>-0.36699999999999999</v>
      </c>
      <c r="T14">
        <v>-12.122999999999999</v>
      </c>
      <c r="U14">
        <v>10.276</v>
      </c>
      <c r="V14">
        <v>226.08</v>
      </c>
      <c r="W14">
        <v>-36.1</v>
      </c>
      <c r="X14" t="s">
        <v>28</v>
      </c>
      <c r="Y14" t="s">
        <v>35</v>
      </c>
      <c r="Z14" t="s">
        <v>75</v>
      </c>
    </row>
    <row r="15" spans="1:26" outlineLevel="2" x14ac:dyDescent="0.25">
      <c r="A15" t="s">
        <v>63</v>
      </c>
      <c r="B15">
        <v>0</v>
      </c>
      <c r="C15">
        <v>3.028</v>
      </c>
      <c r="D15">
        <v>92.691000000000003</v>
      </c>
      <c r="E15">
        <v>5.7309999999999999</v>
      </c>
      <c r="F15">
        <v>199.40199999999999</v>
      </c>
      <c r="G15">
        <v>12.33</v>
      </c>
      <c r="H15">
        <v>1057.0550000000001</v>
      </c>
      <c r="I15">
        <v>1617.221</v>
      </c>
      <c r="J15">
        <v>560.16600000000005</v>
      </c>
      <c r="K15">
        <v>1</v>
      </c>
      <c r="L15">
        <v>-1.2E-2</v>
      </c>
      <c r="M15">
        <v>3</v>
      </c>
      <c r="N15">
        <v>103</v>
      </c>
      <c r="O15">
        <v>52</v>
      </c>
      <c r="P15">
        <v>0</v>
      </c>
      <c r="Q15">
        <v>3.165</v>
      </c>
      <c r="R15">
        <v>0.54400000000000004</v>
      </c>
      <c r="S15">
        <v>-0.55500000000000005</v>
      </c>
      <c r="T15">
        <v>-16.652999999999999</v>
      </c>
      <c r="U15">
        <v>8.2370000000000001</v>
      </c>
      <c r="V15">
        <v>181.21199999999999</v>
      </c>
      <c r="W15">
        <v>-35.700000000000003</v>
      </c>
      <c r="X15" t="s">
        <v>28</v>
      </c>
      <c r="Y15" t="s">
        <v>35</v>
      </c>
      <c r="Z15" t="s">
        <v>76</v>
      </c>
    </row>
    <row r="16" spans="1:26" outlineLevel="2" x14ac:dyDescent="0.25">
      <c r="A16" t="s">
        <v>63</v>
      </c>
      <c r="B16">
        <v>0</v>
      </c>
      <c r="C16">
        <v>-0.09</v>
      </c>
      <c r="D16">
        <v>95.343999999999994</v>
      </c>
      <c r="E16">
        <v>5.9260000000000002</v>
      </c>
      <c r="F16">
        <v>111.42</v>
      </c>
      <c r="G16">
        <v>6.9249999999999998</v>
      </c>
      <c r="H16">
        <v>1063.348</v>
      </c>
      <c r="I16">
        <v>1608.942</v>
      </c>
      <c r="J16">
        <v>545.59400000000005</v>
      </c>
      <c r="K16">
        <v>5</v>
      </c>
      <c r="L16">
        <v>0</v>
      </c>
      <c r="M16">
        <v>0</v>
      </c>
      <c r="N16">
        <v>103</v>
      </c>
      <c r="O16">
        <v>55</v>
      </c>
      <c r="P16">
        <v>0</v>
      </c>
      <c r="Q16">
        <v>1.2969999999999999</v>
      </c>
      <c r="R16">
        <v>0.56699999999999995</v>
      </c>
      <c r="S16">
        <v>-0.68100000000000005</v>
      </c>
      <c r="T16">
        <v>-21.114999999999998</v>
      </c>
      <c r="U16">
        <v>3.851</v>
      </c>
      <c r="V16">
        <v>92.424999999999997</v>
      </c>
      <c r="W16">
        <v>-35.700000000000003</v>
      </c>
      <c r="X16" t="s">
        <v>28</v>
      </c>
      <c r="Y16" t="s">
        <v>35</v>
      </c>
      <c r="Z16" t="s">
        <v>77</v>
      </c>
    </row>
    <row r="17" spans="1:26" outlineLevel="2" x14ac:dyDescent="0.25">
      <c r="A17" t="s">
        <v>63</v>
      </c>
      <c r="B17">
        <v>0</v>
      </c>
      <c r="C17">
        <v>2.3420000000000001</v>
      </c>
      <c r="D17">
        <v>137.55000000000001</v>
      </c>
      <c r="E17">
        <v>9.5690000000000008</v>
      </c>
      <c r="F17">
        <v>307.67599999999999</v>
      </c>
      <c r="G17">
        <v>21.404</v>
      </c>
      <c r="H17">
        <v>871.029</v>
      </c>
      <c r="I17">
        <v>1437.463</v>
      </c>
      <c r="J17">
        <v>566.43399999999997</v>
      </c>
      <c r="K17">
        <v>13</v>
      </c>
      <c r="L17">
        <v>-3.0000000000000001E-3</v>
      </c>
      <c r="M17">
        <v>2</v>
      </c>
      <c r="N17">
        <v>103</v>
      </c>
      <c r="O17">
        <v>49</v>
      </c>
      <c r="P17">
        <v>0</v>
      </c>
      <c r="Q17">
        <v>6.1559999999999997</v>
      </c>
      <c r="R17">
        <v>0.60299999999999998</v>
      </c>
      <c r="S17">
        <v>0.96599999999999997</v>
      </c>
      <c r="T17">
        <v>25.126000000000001</v>
      </c>
      <c r="U17">
        <v>12.023</v>
      </c>
      <c r="V17">
        <v>276.54000000000002</v>
      </c>
      <c r="W17">
        <v>-35.6</v>
      </c>
      <c r="X17" t="s">
        <v>28</v>
      </c>
      <c r="Y17" t="s">
        <v>35</v>
      </c>
      <c r="Z17" t="s">
        <v>78</v>
      </c>
    </row>
    <row r="18" spans="1:26" outlineLevel="2" x14ac:dyDescent="0.25">
      <c r="A18" t="s">
        <v>63</v>
      </c>
      <c r="B18">
        <v>0</v>
      </c>
      <c r="C18">
        <v>1.54</v>
      </c>
      <c r="D18">
        <v>90.772999999999996</v>
      </c>
      <c r="E18">
        <v>5.742</v>
      </c>
      <c r="F18">
        <v>267.02</v>
      </c>
      <c r="G18">
        <v>16.890999999999998</v>
      </c>
      <c r="H18">
        <v>1050.4680000000001</v>
      </c>
      <c r="I18">
        <v>1580.838</v>
      </c>
      <c r="J18">
        <v>530.37</v>
      </c>
      <c r="K18">
        <v>16</v>
      </c>
      <c r="L18">
        <v>-1.9E-2</v>
      </c>
      <c r="M18">
        <v>5</v>
      </c>
      <c r="N18">
        <v>103</v>
      </c>
      <c r="O18">
        <v>50</v>
      </c>
      <c r="P18">
        <v>0</v>
      </c>
      <c r="Q18">
        <v>5.125</v>
      </c>
      <c r="R18">
        <v>0.73199999999999998</v>
      </c>
      <c r="S18">
        <v>0.45200000000000001</v>
      </c>
      <c r="T18">
        <v>11.308999999999999</v>
      </c>
      <c r="U18">
        <v>9.7970000000000006</v>
      </c>
      <c r="V18">
        <v>244.923</v>
      </c>
      <c r="W18">
        <v>-35.5</v>
      </c>
      <c r="X18" t="s">
        <v>28</v>
      </c>
      <c r="Y18" t="s">
        <v>35</v>
      </c>
      <c r="Z18" t="s">
        <v>79</v>
      </c>
    </row>
    <row r="19" spans="1:26" outlineLevel="2" x14ac:dyDescent="0.25">
      <c r="A19" t="s">
        <v>63</v>
      </c>
      <c r="B19">
        <v>0</v>
      </c>
      <c r="C19">
        <v>1.5660000000000001</v>
      </c>
      <c r="D19">
        <v>191.50200000000001</v>
      </c>
      <c r="E19">
        <v>11.798999999999999</v>
      </c>
      <c r="F19">
        <v>214.447</v>
      </c>
      <c r="G19">
        <v>13.212</v>
      </c>
      <c r="H19">
        <v>1037.539</v>
      </c>
      <c r="I19">
        <v>1623.0940000000001</v>
      </c>
      <c r="J19">
        <v>585.55499999999995</v>
      </c>
      <c r="K19">
        <v>8</v>
      </c>
      <c r="L19">
        <v>-6.0000000000000001E-3</v>
      </c>
      <c r="M19">
        <v>1</v>
      </c>
      <c r="N19">
        <v>103</v>
      </c>
      <c r="O19">
        <v>59</v>
      </c>
      <c r="P19">
        <v>0</v>
      </c>
      <c r="Q19">
        <v>2.7919999999999998</v>
      </c>
      <c r="R19">
        <v>0.67900000000000005</v>
      </c>
      <c r="S19">
        <v>0.21099999999999999</v>
      </c>
      <c r="T19">
        <v>8.016</v>
      </c>
      <c r="U19">
        <v>7.4640000000000004</v>
      </c>
      <c r="V19">
        <v>156.74100000000001</v>
      </c>
      <c r="W19">
        <v>-35.4</v>
      </c>
      <c r="X19" t="s">
        <v>28</v>
      </c>
      <c r="Y19" t="s">
        <v>35</v>
      </c>
      <c r="Z19" t="s">
        <v>80</v>
      </c>
    </row>
    <row r="20" spans="1:26" outlineLevel="2" x14ac:dyDescent="0.25">
      <c r="A20" t="s">
        <v>63</v>
      </c>
      <c r="B20">
        <v>0</v>
      </c>
      <c r="C20">
        <v>-0.64800000000000002</v>
      </c>
      <c r="D20">
        <v>57.13</v>
      </c>
      <c r="E20">
        <v>3.794</v>
      </c>
      <c r="F20">
        <v>73.028000000000006</v>
      </c>
      <c r="G20">
        <v>4.8490000000000002</v>
      </c>
      <c r="H20">
        <v>836.38099999999997</v>
      </c>
      <c r="I20">
        <v>1505.8979999999999</v>
      </c>
      <c r="J20">
        <v>669.51700000000005</v>
      </c>
      <c r="K20">
        <v>7</v>
      </c>
      <c r="L20">
        <v>-2.8000000000000001E-2</v>
      </c>
      <c r="M20">
        <v>3</v>
      </c>
      <c r="N20">
        <v>103</v>
      </c>
      <c r="O20">
        <v>53</v>
      </c>
      <c r="P20">
        <v>0</v>
      </c>
      <c r="Q20">
        <v>0.47299999999999998</v>
      </c>
      <c r="R20">
        <v>0.45</v>
      </c>
      <c r="S20">
        <v>-1.006</v>
      </c>
      <c r="T20">
        <v>-30.187999999999999</v>
      </c>
      <c r="U20">
        <v>2.403</v>
      </c>
      <c r="V20">
        <v>55.274999999999999</v>
      </c>
      <c r="W20">
        <v>-35.200000000000003</v>
      </c>
      <c r="X20" t="s">
        <v>28</v>
      </c>
      <c r="Y20" t="s">
        <v>35</v>
      </c>
      <c r="Z20" t="s">
        <v>81</v>
      </c>
    </row>
    <row r="21" spans="1:26" outlineLevel="2" x14ac:dyDescent="0.25">
      <c r="A21" t="s">
        <v>63</v>
      </c>
      <c r="B21">
        <v>0</v>
      </c>
      <c r="C21">
        <v>-0.318</v>
      </c>
      <c r="D21">
        <v>8.5220000000000002</v>
      </c>
      <c r="E21">
        <v>0.46200000000000002</v>
      </c>
      <c r="F21">
        <v>107.17100000000001</v>
      </c>
      <c r="G21">
        <v>5.806</v>
      </c>
      <c r="H21">
        <v>1231.913</v>
      </c>
      <c r="I21">
        <v>1845.856</v>
      </c>
      <c r="J21">
        <v>613.94399999999996</v>
      </c>
      <c r="K21">
        <v>19</v>
      </c>
      <c r="L21">
        <v>-3.0000000000000001E-3</v>
      </c>
      <c r="M21">
        <v>2</v>
      </c>
      <c r="N21">
        <v>103</v>
      </c>
      <c r="O21">
        <v>59</v>
      </c>
      <c r="P21">
        <v>0</v>
      </c>
      <c r="Q21">
        <v>0.70499999999999996</v>
      </c>
      <c r="R21">
        <v>0.501</v>
      </c>
      <c r="S21">
        <v>-1.4630000000000001</v>
      </c>
      <c r="T21">
        <v>-49.73</v>
      </c>
      <c r="U21">
        <v>3.6520000000000001</v>
      </c>
      <c r="V21">
        <v>91.308000000000007</v>
      </c>
      <c r="W21">
        <v>-34.799999999999997</v>
      </c>
      <c r="X21" t="s">
        <v>28</v>
      </c>
      <c r="Y21" t="s">
        <v>35</v>
      </c>
      <c r="Z21" t="s">
        <v>82</v>
      </c>
    </row>
    <row r="22" spans="1:26" outlineLevel="2" x14ac:dyDescent="0.25">
      <c r="A22" t="s">
        <v>63</v>
      </c>
      <c r="B22">
        <v>0</v>
      </c>
      <c r="C22">
        <v>2.59</v>
      </c>
      <c r="D22">
        <v>225.61</v>
      </c>
      <c r="E22">
        <v>19.146000000000001</v>
      </c>
      <c r="F22">
        <v>280.99400000000003</v>
      </c>
      <c r="G22">
        <v>23.847000000000001</v>
      </c>
      <c r="H22">
        <v>725.46799999999996</v>
      </c>
      <c r="I22">
        <v>1178.346</v>
      </c>
      <c r="J22">
        <v>452.87799999999999</v>
      </c>
      <c r="K22">
        <v>9</v>
      </c>
      <c r="L22">
        <v>-7.0000000000000001E-3</v>
      </c>
      <c r="M22">
        <v>2</v>
      </c>
      <c r="N22">
        <v>103</v>
      </c>
      <c r="O22">
        <v>44</v>
      </c>
      <c r="P22">
        <v>0</v>
      </c>
      <c r="Q22">
        <v>5.5229999999999997</v>
      </c>
      <c r="R22">
        <v>0.624</v>
      </c>
      <c r="S22">
        <v>2.8149999999999999</v>
      </c>
      <c r="T22">
        <v>67.551000000000002</v>
      </c>
      <c r="U22">
        <v>8.7729999999999997</v>
      </c>
      <c r="V22">
        <v>175.459</v>
      </c>
      <c r="W22">
        <v>-34.6</v>
      </c>
      <c r="X22" t="s">
        <v>28</v>
      </c>
      <c r="Y22" t="s">
        <v>35</v>
      </c>
      <c r="Z22" t="s">
        <v>83</v>
      </c>
    </row>
    <row r="23" spans="1:26" outlineLevel="1" x14ac:dyDescent="0.25">
      <c r="I23">
        <f>SUBTOTAL(1,I13:I22)</f>
        <v>1560.6452999999997</v>
      </c>
      <c r="M23">
        <f>SUBTOTAL(1,M13:M22)</f>
        <v>2.1</v>
      </c>
      <c r="Y23" s="1" t="s">
        <v>126</v>
      </c>
    </row>
    <row r="24" spans="1:26" outlineLevel="2" x14ac:dyDescent="0.25">
      <c r="A24" t="s">
        <v>63</v>
      </c>
      <c r="B24">
        <v>0</v>
      </c>
      <c r="C24">
        <v>0.10199999999999999</v>
      </c>
      <c r="D24">
        <v>28.768000000000001</v>
      </c>
      <c r="E24">
        <v>1.766</v>
      </c>
      <c r="F24">
        <v>72.790000000000006</v>
      </c>
      <c r="G24">
        <v>4.468</v>
      </c>
      <c r="H24">
        <v>875.46500000000003</v>
      </c>
      <c r="I24">
        <v>1629.1289999999999</v>
      </c>
      <c r="J24">
        <v>753.66399999999999</v>
      </c>
      <c r="K24">
        <v>10</v>
      </c>
      <c r="L24">
        <v>-5.7000000000000002E-2</v>
      </c>
      <c r="M24">
        <v>8</v>
      </c>
      <c r="N24">
        <v>106</v>
      </c>
      <c r="O24">
        <v>53</v>
      </c>
      <c r="P24">
        <v>0</v>
      </c>
      <c r="Q24">
        <v>1.532</v>
      </c>
      <c r="R24">
        <v>0.48</v>
      </c>
      <c r="S24">
        <v>-1.3360000000000001</v>
      </c>
      <c r="T24">
        <v>-38.747999999999998</v>
      </c>
      <c r="U24">
        <v>4.9969999999999999</v>
      </c>
      <c r="V24">
        <v>119.931</v>
      </c>
      <c r="W24">
        <v>-48.9</v>
      </c>
      <c r="X24" t="s">
        <v>28</v>
      </c>
      <c r="Y24" t="s">
        <v>41</v>
      </c>
      <c r="Z24" t="s">
        <v>84</v>
      </c>
    </row>
    <row r="25" spans="1:26" outlineLevel="2" x14ac:dyDescent="0.25">
      <c r="A25" t="s">
        <v>63</v>
      </c>
      <c r="B25">
        <v>0</v>
      </c>
      <c r="C25">
        <v>0.44500000000000001</v>
      </c>
      <c r="D25">
        <v>21.748999999999999</v>
      </c>
      <c r="E25">
        <v>1.2110000000000001</v>
      </c>
      <c r="F25">
        <v>72.353999999999999</v>
      </c>
      <c r="G25">
        <v>4.0270000000000001</v>
      </c>
      <c r="H25">
        <v>861.15499999999997</v>
      </c>
      <c r="I25">
        <v>1796.6590000000001</v>
      </c>
      <c r="J25">
        <v>935.50400000000002</v>
      </c>
      <c r="K25">
        <v>11</v>
      </c>
      <c r="L25">
        <v>-5.7000000000000002E-2</v>
      </c>
      <c r="M25">
        <v>7</v>
      </c>
      <c r="N25">
        <v>106</v>
      </c>
      <c r="O25">
        <v>51</v>
      </c>
      <c r="P25">
        <v>0</v>
      </c>
      <c r="Q25">
        <v>1.9970000000000001</v>
      </c>
      <c r="R25">
        <v>0.62</v>
      </c>
      <c r="S25">
        <v>-1.5469999999999999</v>
      </c>
      <c r="T25">
        <v>-43.326000000000001</v>
      </c>
      <c r="U25">
        <v>6.3129999999999997</v>
      </c>
      <c r="V25">
        <v>145.19200000000001</v>
      </c>
      <c r="W25">
        <v>-46.1</v>
      </c>
      <c r="X25" t="s">
        <v>28</v>
      </c>
      <c r="Y25" t="s">
        <v>41</v>
      </c>
      <c r="Z25" t="s">
        <v>85</v>
      </c>
    </row>
    <row r="26" spans="1:26" outlineLevel="2" x14ac:dyDescent="0.25">
      <c r="A26" t="s">
        <v>63</v>
      </c>
      <c r="B26">
        <v>0</v>
      </c>
      <c r="C26">
        <v>0.22</v>
      </c>
      <c r="D26">
        <v>13.927</v>
      </c>
      <c r="E26">
        <v>0.77500000000000002</v>
      </c>
      <c r="F26">
        <v>93.233000000000004</v>
      </c>
      <c r="G26">
        <v>5.1890000000000001</v>
      </c>
      <c r="H26">
        <v>980.57600000000002</v>
      </c>
      <c r="I26">
        <v>1796.8869999999999</v>
      </c>
      <c r="J26">
        <v>816.31200000000001</v>
      </c>
      <c r="K26">
        <v>22</v>
      </c>
      <c r="L26">
        <v>-3.4000000000000002E-2</v>
      </c>
      <c r="M26">
        <v>5</v>
      </c>
      <c r="N26">
        <v>106</v>
      </c>
      <c r="O26">
        <v>54</v>
      </c>
      <c r="P26">
        <v>0</v>
      </c>
      <c r="Q26">
        <v>1.405</v>
      </c>
      <c r="R26">
        <v>0.69</v>
      </c>
      <c r="S26">
        <v>-1.381</v>
      </c>
      <c r="T26">
        <v>-38.665999999999997</v>
      </c>
      <c r="U26">
        <v>4.4059999999999997</v>
      </c>
      <c r="V26">
        <v>114.55800000000001</v>
      </c>
      <c r="W26">
        <v>-46</v>
      </c>
      <c r="X26" t="s">
        <v>28</v>
      </c>
      <c r="Y26" t="s">
        <v>41</v>
      </c>
      <c r="Z26" t="s">
        <v>86</v>
      </c>
    </row>
    <row r="27" spans="1:26" outlineLevel="2" x14ac:dyDescent="0.25">
      <c r="A27" t="s">
        <v>63</v>
      </c>
      <c r="B27">
        <v>0</v>
      </c>
      <c r="C27">
        <v>-1.0529999999999999</v>
      </c>
      <c r="D27">
        <v>13.504</v>
      </c>
      <c r="E27">
        <v>0.80600000000000005</v>
      </c>
      <c r="F27">
        <v>28.995000000000001</v>
      </c>
      <c r="G27">
        <v>1.7310000000000001</v>
      </c>
      <c r="H27">
        <v>752.01700000000005</v>
      </c>
      <c r="I27">
        <v>1675.251</v>
      </c>
      <c r="J27">
        <v>923.23400000000004</v>
      </c>
      <c r="K27">
        <v>12</v>
      </c>
      <c r="L27">
        <v>-0.09</v>
      </c>
      <c r="M27">
        <v>3</v>
      </c>
      <c r="N27">
        <v>106</v>
      </c>
      <c r="O27">
        <v>51</v>
      </c>
      <c r="P27">
        <v>0</v>
      </c>
      <c r="Q27">
        <v>-0.46200000000000002</v>
      </c>
      <c r="R27">
        <v>0.56200000000000006</v>
      </c>
      <c r="S27">
        <v>-1.7549999999999999</v>
      </c>
      <c r="T27">
        <v>-45.631</v>
      </c>
      <c r="U27">
        <v>0.88200000000000001</v>
      </c>
      <c r="V27">
        <v>22.056999999999999</v>
      </c>
      <c r="W27">
        <v>-45.9</v>
      </c>
      <c r="X27" t="s">
        <v>28</v>
      </c>
      <c r="Y27" t="s">
        <v>41</v>
      </c>
      <c r="Z27" t="s">
        <v>87</v>
      </c>
    </row>
    <row r="28" spans="1:26" outlineLevel="2" x14ac:dyDescent="0.25">
      <c r="A28" t="s">
        <v>63</v>
      </c>
      <c r="B28">
        <v>0</v>
      </c>
      <c r="C28">
        <v>0.25900000000000001</v>
      </c>
      <c r="D28">
        <v>22.315000000000001</v>
      </c>
      <c r="E28">
        <v>1.292</v>
      </c>
      <c r="F28">
        <v>-28.852</v>
      </c>
      <c r="G28">
        <v>-1.671</v>
      </c>
      <c r="H28">
        <v>832.60500000000002</v>
      </c>
      <c r="I28">
        <v>1726.932</v>
      </c>
      <c r="J28">
        <v>894.327</v>
      </c>
      <c r="K28">
        <v>15</v>
      </c>
      <c r="L28">
        <v>3.5999999999999997E-2</v>
      </c>
      <c r="M28">
        <v>3</v>
      </c>
      <c r="N28">
        <v>106</v>
      </c>
      <c r="O28">
        <v>50</v>
      </c>
      <c r="P28">
        <v>0</v>
      </c>
      <c r="Q28">
        <v>1.9119999999999999</v>
      </c>
      <c r="R28">
        <v>0.57299999999999995</v>
      </c>
      <c r="S28">
        <v>-1.579</v>
      </c>
      <c r="T28">
        <v>-39.465000000000003</v>
      </c>
      <c r="U28">
        <v>5.4020000000000001</v>
      </c>
      <c r="V28">
        <v>135.06200000000001</v>
      </c>
      <c r="W28">
        <v>-45.6</v>
      </c>
      <c r="X28" t="s">
        <v>28</v>
      </c>
      <c r="Y28" t="s">
        <v>41</v>
      </c>
      <c r="Z28" t="s">
        <v>88</v>
      </c>
    </row>
    <row r="29" spans="1:26" outlineLevel="2" x14ac:dyDescent="0.25">
      <c r="A29" t="s">
        <v>63</v>
      </c>
      <c r="B29">
        <v>0</v>
      </c>
      <c r="C29">
        <v>0.34799999999999998</v>
      </c>
      <c r="D29">
        <v>62.598999999999997</v>
      </c>
      <c r="E29">
        <v>3.7909999999999999</v>
      </c>
      <c r="F29">
        <v>122.57899999999999</v>
      </c>
      <c r="G29">
        <v>7.423</v>
      </c>
      <c r="H29">
        <v>847.03200000000004</v>
      </c>
      <c r="I29">
        <v>1651.3440000000001</v>
      </c>
      <c r="J29">
        <v>804.31200000000001</v>
      </c>
      <c r="K29">
        <v>8</v>
      </c>
      <c r="L29">
        <v>-2.3E-2</v>
      </c>
      <c r="M29">
        <v>4</v>
      </c>
      <c r="N29">
        <v>106</v>
      </c>
      <c r="O29">
        <v>51</v>
      </c>
      <c r="P29">
        <v>0</v>
      </c>
      <c r="Q29">
        <v>1.905</v>
      </c>
      <c r="R29">
        <v>0.45800000000000002</v>
      </c>
      <c r="S29">
        <v>-0.65200000000000002</v>
      </c>
      <c r="T29">
        <v>-17.597999999999999</v>
      </c>
      <c r="U29">
        <v>4.7809999999999997</v>
      </c>
      <c r="V29">
        <v>114.75</v>
      </c>
      <c r="W29">
        <v>-45.4</v>
      </c>
      <c r="X29" t="s">
        <v>28</v>
      </c>
      <c r="Y29" t="s">
        <v>41</v>
      </c>
      <c r="Z29" t="s">
        <v>89</v>
      </c>
    </row>
    <row r="30" spans="1:26" outlineLevel="2" x14ac:dyDescent="0.25">
      <c r="A30" t="s">
        <v>63</v>
      </c>
      <c r="B30">
        <v>0</v>
      </c>
      <c r="C30">
        <v>-0.105</v>
      </c>
      <c r="D30">
        <v>8.1519999999999992</v>
      </c>
      <c r="E30">
        <v>0.63</v>
      </c>
      <c r="F30">
        <v>20.204999999999998</v>
      </c>
      <c r="G30">
        <v>1.56</v>
      </c>
      <c r="H30">
        <v>516.17899999999997</v>
      </c>
      <c r="I30">
        <v>1294.876</v>
      </c>
      <c r="J30">
        <v>778.697</v>
      </c>
      <c r="K30">
        <v>6</v>
      </c>
      <c r="L30">
        <v>-0.188</v>
      </c>
      <c r="M30">
        <v>4</v>
      </c>
      <c r="N30">
        <v>106</v>
      </c>
      <c r="O30">
        <v>35</v>
      </c>
      <c r="P30">
        <v>0</v>
      </c>
      <c r="Q30">
        <v>1.0860000000000001</v>
      </c>
      <c r="R30">
        <v>0.61099999999999999</v>
      </c>
      <c r="S30">
        <v>-1.077</v>
      </c>
      <c r="T30">
        <v>-17.231000000000002</v>
      </c>
      <c r="U30">
        <v>2.907</v>
      </c>
      <c r="V30">
        <v>55.23</v>
      </c>
      <c r="W30">
        <v>-45.3</v>
      </c>
      <c r="X30" t="s">
        <v>28</v>
      </c>
      <c r="Y30" t="s">
        <v>41</v>
      </c>
      <c r="Z30" t="s">
        <v>90</v>
      </c>
    </row>
    <row r="31" spans="1:26" outlineLevel="2" x14ac:dyDescent="0.25">
      <c r="A31" t="s">
        <v>63</v>
      </c>
      <c r="B31">
        <v>0</v>
      </c>
      <c r="C31">
        <v>-0.60499999999999998</v>
      </c>
      <c r="D31">
        <v>11.743</v>
      </c>
      <c r="E31">
        <v>0.72899999999999998</v>
      </c>
      <c r="F31">
        <v>33.287999999999997</v>
      </c>
      <c r="G31">
        <v>2.0659999999999998</v>
      </c>
      <c r="H31">
        <v>831.35599999999999</v>
      </c>
      <c r="I31">
        <v>1611.5029999999999</v>
      </c>
      <c r="J31">
        <v>780.14700000000005</v>
      </c>
      <c r="K31">
        <v>8</v>
      </c>
      <c r="L31">
        <v>-7.2999999999999995E-2</v>
      </c>
      <c r="M31">
        <v>3</v>
      </c>
      <c r="N31">
        <v>106</v>
      </c>
      <c r="O31">
        <v>51</v>
      </c>
      <c r="P31">
        <v>0</v>
      </c>
      <c r="Q31">
        <v>-0.23699999999999999</v>
      </c>
      <c r="R31">
        <v>0.498</v>
      </c>
      <c r="S31">
        <v>-1.8149999999999999</v>
      </c>
      <c r="T31">
        <v>-49.003999999999998</v>
      </c>
      <c r="U31">
        <v>1.5369999999999999</v>
      </c>
      <c r="V31">
        <v>36.895000000000003</v>
      </c>
      <c r="W31">
        <v>-45.1</v>
      </c>
      <c r="X31" t="s">
        <v>28</v>
      </c>
      <c r="Y31" t="s">
        <v>41</v>
      </c>
      <c r="Z31" t="s">
        <v>91</v>
      </c>
    </row>
    <row r="32" spans="1:26" outlineLevel="2" x14ac:dyDescent="0.25">
      <c r="A32" t="s">
        <v>63</v>
      </c>
      <c r="B32">
        <v>0</v>
      </c>
      <c r="C32">
        <v>1.4410000000000001</v>
      </c>
      <c r="D32">
        <v>-2.371</v>
      </c>
      <c r="E32">
        <v>-0.14199999999999999</v>
      </c>
      <c r="F32">
        <v>22.193999999999999</v>
      </c>
      <c r="G32">
        <v>1.3320000000000001</v>
      </c>
      <c r="H32">
        <v>744.17100000000005</v>
      </c>
      <c r="I32">
        <v>1666.636</v>
      </c>
      <c r="J32">
        <v>922.46400000000006</v>
      </c>
      <c r="K32">
        <v>13</v>
      </c>
      <c r="L32">
        <v>-0.154</v>
      </c>
      <c r="M32">
        <v>4</v>
      </c>
      <c r="N32">
        <v>106</v>
      </c>
      <c r="O32">
        <v>47</v>
      </c>
      <c r="P32">
        <v>0</v>
      </c>
      <c r="Q32">
        <v>2.4929999999999999</v>
      </c>
      <c r="R32">
        <v>0.56100000000000005</v>
      </c>
      <c r="S32">
        <v>-1.446</v>
      </c>
      <c r="T32">
        <v>-31.81</v>
      </c>
      <c r="U32">
        <v>5.9589999999999996</v>
      </c>
      <c r="V32">
        <v>148.97800000000001</v>
      </c>
      <c r="W32">
        <v>-44.7</v>
      </c>
      <c r="X32" t="s">
        <v>28</v>
      </c>
      <c r="Y32" t="s">
        <v>41</v>
      </c>
      <c r="Z32" t="s">
        <v>92</v>
      </c>
    </row>
    <row r="33" spans="1:26" outlineLevel="2" x14ac:dyDescent="0.25">
      <c r="A33" t="s">
        <v>63</v>
      </c>
      <c r="B33">
        <v>0</v>
      </c>
      <c r="C33">
        <v>1.429</v>
      </c>
      <c r="D33">
        <v>87.992999999999995</v>
      </c>
      <c r="E33">
        <v>4.5650000000000004</v>
      </c>
      <c r="F33">
        <v>142.804</v>
      </c>
      <c r="G33">
        <v>7.4089999999999998</v>
      </c>
      <c r="H33">
        <v>990.9</v>
      </c>
      <c r="I33">
        <v>1927.4110000000001</v>
      </c>
      <c r="J33">
        <v>936.51099999999997</v>
      </c>
      <c r="K33">
        <v>14</v>
      </c>
      <c r="L33">
        <v>-2.5000000000000001E-2</v>
      </c>
      <c r="M33">
        <v>6</v>
      </c>
      <c r="N33">
        <v>106</v>
      </c>
      <c r="O33">
        <v>60</v>
      </c>
      <c r="P33">
        <v>0</v>
      </c>
      <c r="Q33">
        <v>2.5649999999999999</v>
      </c>
      <c r="R33">
        <v>0.64900000000000002</v>
      </c>
      <c r="S33">
        <v>-0.41099999999999998</v>
      </c>
      <c r="T33">
        <v>-13.157</v>
      </c>
      <c r="U33">
        <v>5.9660000000000002</v>
      </c>
      <c r="V33">
        <v>167.042</v>
      </c>
      <c r="W33">
        <v>-44.4</v>
      </c>
      <c r="X33" t="s">
        <v>28</v>
      </c>
      <c r="Y33" t="s">
        <v>41</v>
      </c>
      <c r="Z33" t="s">
        <v>93</v>
      </c>
    </row>
    <row r="34" spans="1:26" outlineLevel="1" x14ac:dyDescent="0.25">
      <c r="I34">
        <f>SUBTOTAL(1,I24:I33)</f>
        <v>1677.6628000000005</v>
      </c>
      <c r="M34">
        <f>SUBTOTAL(1,M24:M33)</f>
        <v>4.7</v>
      </c>
      <c r="Y34" s="1" t="s">
        <v>127</v>
      </c>
    </row>
    <row r="35" spans="1:26" outlineLevel="2" x14ac:dyDescent="0.25">
      <c r="A35" t="s">
        <v>63</v>
      </c>
      <c r="B35">
        <v>0</v>
      </c>
      <c r="C35">
        <v>4.37</v>
      </c>
      <c r="D35">
        <v>120.35299999999999</v>
      </c>
      <c r="E35">
        <v>5.3860000000000001</v>
      </c>
      <c r="F35">
        <v>225.31700000000001</v>
      </c>
      <c r="G35">
        <v>10.082000000000001</v>
      </c>
      <c r="H35">
        <v>1230.019</v>
      </c>
      <c r="I35">
        <v>2234.7559999999999</v>
      </c>
      <c r="J35">
        <v>1004.737</v>
      </c>
      <c r="K35">
        <v>29</v>
      </c>
      <c r="L35">
        <v>-0.01</v>
      </c>
      <c r="M35">
        <v>4</v>
      </c>
      <c r="N35">
        <v>131</v>
      </c>
      <c r="O35">
        <v>69</v>
      </c>
      <c r="P35">
        <v>0</v>
      </c>
      <c r="Q35">
        <v>5.2110000000000003</v>
      </c>
      <c r="R35">
        <v>0.59699999999999998</v>
      </c>
      <c r="S35">
        <v>-0.14499999999999999</v>
      </c>
      <c r="T35">
        <v>-5.6689999999999996</v>
      </c>
      <c r="U35">
        <v>12.173</v>
      </c>
      <c r="V35">
        <v>365.2</v>
      </c>
      <c r="W35">
        <v>-46</v>
      </c>
      <c r="X35" t="s">
        <v>47</v>
      </c>
      <c r="Y35" t="s">
        <v>29</v>
      </c>
      <c r="Z35" t="s">
        <v>94</v>
      </c>
    </row>
    <row r="36" spans="1:26" outlineLevel="2" x14ac:dyDescent="0.25">
      <c r="A36" t="s">
        <v>63</v>
      </c>
      <c r="B36">
        <v>0</v>
      </c>
      <c r="C36">
        <v>0.66600000000000004</v>
      </c>
      <c r="D36">
        <v>19.62</v>
      </c>
      <c r="E36">
        <v>0.873</v>
      </c>
      <c r="F36">
        <v>87.768000000000001</v>
      </c>
      <c r="G36">
        <v>3.907</v>
      </c>
      <c r="H36">
        <v>1238.787</v>
      </c>
      <c r="I36">
        <v>2246.4780000000001</v>
      </c>
      <c r="J36">
        <v>1007.69</v>
      </c>
      <c r="K36">
        <v>18</v>
      </c>
      <c r="L36">
        <v>-3.5000000000000003E-2</v>
      </c>
      <c r="M36">
        <v>6</v>
      </c>
      <c r="N36">
        <v>131</v>
      </c>
      <c r="O36">
        <v>60</v>
      </c>
      <c r="P36">
        <v>0</v>
      </c>
      <c r="Q36">
        <v>0.65100000000000002</v>
      </c>
      <c r="R36">
        <v>0.48699999999999999</v>
      </c>
      <c r="S36">
        <v>-1.96</v>
      </c>
      <c r="T36">
        <v>-64.667000000000002</v>
      </c>
      <c r="U36">
        <v>3.8420000000000001</v>
      </c>
      <c r="V36">
        <v>103.744</v>
      </c>
      <c r="W36">
        <v>-45.7</v>
      </c>
      <c r="X36" t="s">
        <v>47</v>
      </c>
      <c r="Y36" t="s">
        <v>29</v>
      </c>
      <c r="Z36" t="s">
        <v>95</v>
      </c>
    </row>
    <row r="37" spans="1:26" outlineLevel="2" x14ac:dyDescent="0.25">
      <c r="A37" t="s">
        <v>63</v>
      </c>
      <c r="B37">
        <v>0</v>
      </c>
      <c r="C37">
        <v>4.492</v>
      </c>
      <c r="D37">
        <v>186.72200000000001</v>
      </c>
      <c r="E37">
        <v>11.199</v>
      </c>
      <c r="F37">
        <v>296.17</v>
      </c>
      <c r="G37">
        <v>17.763000000000002</v>
      </c>
      <c r="H37">
        <v>1067.4970000000001</v>
      </c>
      <c r="I37">
        <v>1667.3040000000001</v>
      </c>
      <c r="J37">
        <v>599.80700000000002</v>
      </c>
      <c r="K37">
        <v>17</v>
      </c>
      <c r="L37">
        <v>0</v>
      </c>
      <c r="M37">
        <v>1</v>
      </c>
      <c r="N37">
        <v>131</v>
      </c>
      <c r="O37">
        <v>55</v>
      </c>
      <c r="P37">
        <v>0</v>
      </c>
      <c r="Q37">
        <v>6.758</v>
      </c>
      <c r="R37">
        <v>0.54400000000000004</v>
      </c>
      <c r="S37">
        <v>1.401</v>
      </c>
      <c r="T37">
        <v>40.634999999999998</v>
      </c>
      <c r="U37">
        <v>12.734</v>
      </c>
      <c r="V37">
        <v>331.07799999999997</v>
      </c>
      <c r="W37">
        <v>-44.8</v>
      </c>
      <c r="X37" t="s">
        <v>47</v>
      </c>
      <c r="Y37" t="s">
        <v>29</v>
      </c>
      <c r="Z37" t="s">
        <v>96</v>
      </c>
    </row>
    <row r="38" spans="1:26" outlineLevel="2" x14ac:dyDescent="0.25">
      <c r="A38" t="s">
        <v>63</v>
      </c>
      <c r="B38">
        <v>0</v>
      </c>
      <c r="C38">
        <v>2.4169999999999998</v>
      </c>
      <c r="D38">
        <v>10.52</v>
      </c>
      <c r="E38">
        <v>0.61199999999999999</v>
      </c>
      <c r="F38">
        <v>54.393999999999998</v>
      </c>
      <c r="G38">
        <v>3.1629999999999998</v>
      </c>
      <c r="H38">
        <v>959.72299999999996</v>
      </c>
      <c r="I38">
        <v>1719.806</v>
      </c>
      <c r="J38">
        <v>760.08299999999997</v>
      </c>
      <c r="K38">
        <v>11</v>
      </c>
      <c r="L38">
        <v>0</v>
      </c>
      <c r="M38">
        <v>1</v>
      </c>
      <c r="N38">
        <v>131</v>
      </c>
      <c r="O38">
        <v>55</v>
      </c>
      <c r="P38">
        <v>0</v>
      </c>
      <c r="Q38">
        <v>1.6359999999999999</v>
      </c>
      <c r="R38">
        <v>0.628</v>
      </c>
      <c r="S38">
        <v>-1.7390000000000001</v>
      </c>
      <c r="T38">
        <v>-46.966000000000001</v>
      </c>
      <c r="U38">
        <v>4.8899999999999997</v>
      </c>
      <c r="V38">
        <v>136.928</v>
      </c>
      <c r="W38">
        <v>-44.8</v>
      </c>
      <c r="X38" t="s">
        <v>47</v>
      </c>
      <c r="Y38" t="s">
        <v>29</v>
      </c>
      <c r="Z38" t="s">
        <v>97</v>
      </c>
    </row>
    <row r="39" spans="1:26" outlineLevel="2" x14ac:dyDescent="0.25">
      <c r="A39" t="s">
        <v>63</v>
      </c>
      <c r="B39">
        <v>0</v>
      </c>
      <c r="C39">
        <v>2.0249999999999999</v>
      </c>
      <c r="D39">
        <v>-17.526</v>
      </c>
      <c r="E39">
        <v>-0.94699999999999995</v>
      </c>
      <c r="F39">
        <v>31.224</v>
      </c>
      <c r="G39">
        <v>1.6879999999999999</v>
      </c>
      <c r="H39">
        <v>927.98299999999995</v>
      </c>
      <c r="I39">
        <v>1850.181</v>
      </c>
      <c r="J39">
        <v>922.19799999999998</v>
      </c>
      <c r="K39">
        <v>24</v>
      </c>
      <c r="L39">
        <v>-5.2999999999999999E-2</v>
      </c>
      <c r="M39">
        <v>3</v>
      </c>
      <c r="N39">
        <v>131</v>
      </c>
      <c r="O39">
        <v>61</v>
      </c>
      <c r="P39">
        <v>0</v>
      </c>
      <c r="Q39">
        <v>2.3199999999999998</v>
      </c>
      <c r="R39">
        <v>0.46300000000000002</v>
      </c>
      <c r="S39">
        <v>-2.4279999999999999</v>
      </c>
      <c r="T39">
        <v>-77.7</v>
      </c>
      <c r="U39">
        <v>7.5590000000000002</v>
      </c>
      <c r="V39">
        <v>219.22</v>
      </c>
      <c r="W39">
        <v>-44.7</v>
      </c>
      <c r="X39" t="s">
        <v>47</v>
      </c>
      <c r="Y39" t="s">
        <v>29</v>
      </c>
      <c r="Z39" t="s">
        <v>98</v>
      </c>
    </row>
    <row r="40" spans="1:26" outlineLevel="2" x14ac:dyDescent="0.25">
      <c r="A40" t="s">
        <v>63</v>
      </c>
      <c r="B40">
        <v>0</v>
      </c>
      <c r="C40">
        <v>2.9390000000000001</v>
      </c>
      <c r="D40">
        <v>42.362000000000002</v>
      </c>
      <c r="E40">
        <v>1.9890000000000001</v>
      </c>
      <c r="F40">
        <v>93.867999999999995</v>
      </c>
      <c r="G40">
        <v>4.4080000000000004</v>
      </c>
      <c r="H40">
        <v>1159.277</v>
      </c>
      <c r="I40">
        <v>2129.5309999999999</v>
      </c>
      <c r="J40">
        <v>970.25400000000002</v>
      </c>
      <c r="K40">
        <v>17</v>
      </c>
      <c r="L40">
        <v>-2.5000000000000001E-2</v>
      </c>
      <c r="M40">
        <v>4</v>
      </c>
      <c r="N40">
        <v>131</v>
      </c>
      <c r="O40">
        <v>66</v>
      </c>
      <c r="P40">
        <v>0</v>
      </c>
      <c r="Q40">
        <v>1.5609999999999999</v>
      </c>
      <c r="R40">
        <v>0.52600000000000002</v>
      </c>
      <c r="S40">
        <v>-1.5169999999999999</v>
      </c>
      <c r="T40">
        <v>-53.094000000000001</v>
      </c>
      <c r="U40">
        <v>5.0369999999999999</v>
      </c>
      <c r="V40">
        <v>156.13999999999999</v>
      </c>
      <c r="W40">
        <v>-44.4</v>
      </c>
      <c r="X40" t="s">
        <v>47</v>
      </c>
      <c r="Y40" t="s">
        <v>29</v>
      </c>
      <c r="Z40" t="s">
        <v>99</v>
      </c>
    </row>
    <row r="41" spans="1:26" outlineLevel="2" x14ac:dyDescent="0.25">
      <c r="A41" t="s">
        <v>63</v>
      </c>
      <c r="B41">
        <v>0</v>
      </c>
      <c r="C41">
        <v>3.4329999999999998</v>
      </c>
      <c r="D41">
        <v>89.632999999999996</v>
      </c>
      <c r="E41">
        <v>4.069</v>
      </c>
      <c r="F41">
        <v>345.87799999999999</v>
      </c>
      <c r="G41">
        <v>15.702999999999999</v>
      </c>
      <c r="H41">
        <v>1241.806</v>
      </c>
      <c r="I41">
        <v>2202.665</v>
      </c>
      <c r="J41">
        <v>960.86</v>
      </c>
      <c r="K41">
        <v>30</v>
      </c>
      <c r="L41">
        <v>-3.0000000000000001E-3</v>
      </c>
      <c r="M41">
        <v>2</v>
      </c>
      <c r="N41">
        <v>131</v>
      </c>
      <c r="O41">
        <v>73</v>
      </c>
      <c r="P41">
        <v>0</v>
      </c>
      <c r="Q41">
        <v>5.3879999999999999</v>
      </c>
      <c r="R41">
        <v>0.627</v>
      </c>
      <c r="S41">
        <v>-1.4710000000000001</v>
      </c>
      <c r="T41">
        <v>-60.317</v>
      </c>
      <c r="U41">
        <v>14.175000000000001</v>
      </c>
      <c r="V41">
        <v>453.60599999999999</v>
      </c>
      <c r="W41">
        <v>-44.3</v>
      </c>
      <c r="X41" t="s">
        <v>47</v>
      </c>
      <c r="Y41" t="s">
        <v>29</v>
      </c>
      <c r="Z41" t="s">
        <v>100</v>
      </c>
    </row>
    <row r="42" spans="1:26" outlineLevel="2" x14ac:dyDescent="0.25">
      <c r="A42" t="s">
        <v>63</v>
      </c>
      <c r="B42">
        <v>0</v>
      </c>
      <c r="C42">
        <v>3.706</v>
      </c>
      <c r="D42">
        <v>227.88</v>
      </c>
      <c r="E42">
        <v>9.2530000000000001</v>
      </c>
      <c r="F42">
        <v>531.149</v>
      </c>
      <c r="G42">
        <v>21.567</v>
      </c>
      <c r="H42">
        <v>1362.289</v>
      </c>
      <c r="I42">
        <v>2462.739</v>
      </c>
      <c r="J42">
        <v>1100.45</v>
      </c>
      <c r="K42">
        <v>10</v>
      </c>
      <c r="L42">
        <v>-3.0000000000000001E-3</v>
      </c>
      <c r="M42">
        <v>2</v>
      </c>
      <c r="N42">
        <v>131</v>
      </c>
      <c r="O42">
        <v>78</v>
      </c>
      <c r="P42">
        <v>0</v>
      </c>
      <c r="Q42">
        <v>6.0270000000000001</v>
      </c>
      <c r="R42">
        <v>0.55700000000000005</v>
      </c>
      <c r="S42">
        <v>0.112</v>
      </c>
      <c r="T42">
        <v>4.93</v>
      </c>
      <c r="U42">
        <v>13.680999999999999</v>
      </c>
      <c r="V42">
        <v>465.137</v>
      </c>
      <c r="W42">
        <v>-43.8</v>
      </c>
      <c r="X42" t="s">
        <v>47</v>
      </c>
      <c r="Y42" t="s">
        <v>29</v>
      </c>
      <c r="Z42" t="s">
        <v>101</v>
      </c>
    </row>
    <row r="43" spans="1:26" outlineLevel="2" x14ac:dyDescent="0.25">
      <c r="A43" t="s">
        <v>63</v>
      </c>
      <c r="B43">
        <v>0</v>
      </c>
      <c r="C43">
        <v>10.287000000000001</v>
      </c>
      <c r="D43">
        <v>190.29599999999999</v>
      </c>
      <c r="E43">
        <v>10.252000000000001</v>
      </c>
      <c r="F43">
        <v>1083.6220000000001</v>
      </c>
      <c r="G43">
        <v>58.381999999999998</v>
      </c>
      <c r="H43">
        <v>963.98699999999997</v>
      </c>
      <c r="I43">
        <v>1856.0930000000001</v>
      </c>
      <c r="J43">
        <v>892.10699999999997</v>
      </c>
      <c r="K43">
        <v>16</v>
      </c>
      <c r="L43">
        <v>-3.0000000000000001E-3</v>
      </c>
      <c r="M43">
        <v>2</v>
      </c>
      <c r="N43">
        <v>131</v>
      </c>
      <c r="O43">
        <v>57</v>
      </c>
      <c r="P43">
        <v>0</v>
      </c>
      <c r="Q43">
        <v>21.175000000000001</v>
      </c>
      <c r="R43">
        <v>0.52400000000000002</v>
      </c>
      <c r="S43">
        <v>1.9379999999999999</v>
      </c>
      <c r="T43">
        <v>56.192999999999998</v>
      </c>
      <c r="U43">
        <v>41.098999999999997</v>
      </c>
      <c r="V43">
        <v>1150.7650000000001</v>
      </c>
      <c r="W43">
        <v>-43.8</v>
      </c>
      <c r="X43" t="s">
        <v>47</v>
      </c>
      <c r="Y43" t="s">
        <v>29</v>
      </c>
      <c r="Z43" t="s">
        <v>102</v>
      </c>
    </row>
    <row r="44" spans="1:26" outlineLevel="2" x14ac:dyDescent="0.25">
      <c r="A44" t="s">
        <v>63</v>
      </c>
      <c r="B44">
        <v>0</v>
      </c>
      <c r="C44">
        <v>5.7640000000000002</v>
      </c>
      <c r="D44">
        <v>17.966999999999999</v>
      </c>
      <c r="E44">
        <v>0.98</v>
      </c>
      <c r="F44">
        <v>41.588000000000001</v>
      </c>
      <c r="G44">
        <v>2.2690000000000001</v>
      </c>
      <c r="H44">
        <v>1181.828</v>
      </c>
      <c r="I44">
        <v>1832.7570000000001</v>
      </c>
      <c r="J44">
        <v>650.92999999999995</v>
      </c>
      <c r="K44">
        <v>3</v>
      </c>
      <c r="L44">
        <v>-5.6000000000000001E-2</v>
      </c>
      <c r="M44">
        <v>3</v>
      </c>
      <c r="N44">
        <v>131</v>
      </c>
      <c r="O44">
        <v>54</v>
      </c>
      <c r="P44">
        <v>0</v>
      </c>
      <c r="Q44">
        <v>9.2210000000000001</v>
      </c>
      <c r="R44">
        <v>0.38900000000000001</v>
      </c>
      <c r="S44">
        <v>-1.7669999999999999</v>
      </c>
      <c r="T44">
        <v>-45.944000000000003</v>
      </c>
      <c r="U44">
        <v>19.423999999999999</v>
      </c>
      <c r="V44">
        <v>543.86199999999997</v>
      </c>
      <c r="W44">
        <v>-43.6</v>
      </c>
      <c r="X44" t="s">
        <v>47</v>
      </c>
      <c r="Y44" t="s">
        <v>29</v>
      </c>
      <c r="Z44" t="s">
        <v>103</v>
      </c>
    </row>
    <row r="45" spans="1:26" outlineLevel="1" x14ac:dyDescent="0.25">
      <c r="I45">
        <f>SUBTOTAL(1,I35:I44)</f>
        <v>2020.2310000000004</v>
      </c>
      <c r="M45">
        <f>SUBTOTAL(1,M35:M44)</f>
        <v>2.8</v>
      </c>
      <c r="Y45" s="1" t="s">
        <v>125</v>
      </c>
    </row>
    <row r="46" spans="1:26" outlineLevel="2" x14ac:dyDescent="0.25">
      <c r="A46" t="s">
        <v>63</v>
      </c>
      <c r="B46">
        <v>0</v>
      </c>
      <c r="C46">
        <v>2.1539999999999999</v>
      </c>
      <c r="D46">
        <v>123.971</v>
      </c>
      <c r="E46">
        <v>8.6780000000000008</v>
      </c>
      <c r="F46">
        <v>268.36399999999998</v>
      </c>
      <c r="G46">
        <v>18.785</v>
      </c>
      <c r="H46">
        <v>784.66200000000003</v>
      </c>
      <c r="I46">
        <v>1428.577</v>
      </c>
      <c r="J46">
        <v>643.91399999999999</v>
      </c>
      <c r="K46">
        <v>15</v>
      </c>
      <c r="L46">
        <v>-6.0000000000000001E-3</v>
      </c>
      <c r="M46">
        <v>2</v>
      </c>
      <c r="N46">
        <v>120</v>
      </c>
      <c r="O46">
        <v>50</v>
      </c>
      <c r="P46">
        <v>0</v>
      </c>
      <c r="Q46">
        <v>5.3010000000000002</v>
      </c>
      <c r="R46">
        <v>0.56999999999999995</v>
      </c>
      <c r="S46">
        <v>-0.38900000000000001</v>
      </c>
      <c r="T46">
        <v>-11.294</v>
      </c>
      <c r="U46">
        <v>13.159000000000001</v>
      </c>
      <c r="V46">
        <v>276.33699999999999</v>
      </c>
      <c r="W46">
        <v>-38.700000000000003</v>
      </c>
      <c r="X46" t="s">
        <v>47</v>
      </c>
      <c r="Y46" t="s">
        <v>35</v>
      </c>
      <c r="Z46" t="s">
        <v>104</v>
      </c>
    </row>
    <row r="47" spans="1:26" outlineLevel="2" x14ac:dyDescent="0.25">
      <c r="A47" t="s">
        <v>63</v>
      </c>
      <c r="B47">
        <v>0</v>
      </c>
      <c r="C47">
        <v>3.2330000000000001</v>
      </c>
      <c r="D47">
        <v>158.721</v>
      </c>
      <c r="E47">
        <v>9.4860000000000007</v>
      </c>
      <c r="F47">
        <v>199.74600000000001</v>
      </c>
      <c r="G47">
        <v>11.936999999999999</v>
      </c>
      <c r="H47">
        <v>927.11</v>
      </c>
      <c r="I47">
        <v>1673.2840000000001</v>
      </c>
      <c r="J47">
        <v>746.17399999999998</v>
      </c>
      <c r="K47">
        <v>15</v>
      </c>
      <c r="L47">
        <v>-0.01</v>
      </c>
      <c r="M47">
        <v>3</v>
      </c>
      <c r="N47">
        <v>120</v>
      </c>
      <c r="O47">
        <v>52</v>
      </c>
      <c r="P47">
        <v>0</v>
      </c>
      <c r="Q47">
        <v>5.1180000000000003</v>
      </c>
      <c r="R47">
        <v>0.68500000000000005</v>
      </c>
      <c r="S47">
        <v>0.57499999999999996</v>
      </c>
      <c r="T47">
        <v>17.260000000000002</v>
      </c>
      <c r="U47">
        <v>11.311</v>
      </c>
      <c r="V47">
        <v>248.851</v>
      </c>
      <c r="W47">
        <v>-35.9</v>
      </c>
      <c r="X47" t="s">
        <v>47</v>
      </c>
      <c r="Y47" t="s">
        <v>35</v>
      </c>
      <c r="Z47" t="s">
        <v>105</v>
      </c>
    </row>
    <row r="48" spans="1:26" outlineLevel="2" x14ac:dyDescent="0.25">
      <c r="A48" t="s">
        <v>63</v>
      </c>
      <c r="B48">
        <v>0</v>
      </c>
      <c r="C48">
        <v>0.72799999999999998</v>
      </c>
      <c r="D48">
        <v>80.227000000000004</v>
      </c>
      <c r="E48">
        <v>5.5209999999999999</v>
      </c>
      <c r="F48">
        <v>80.539000000000001</v>
      </c>
      <c r="G48">
        <v>5.5419999999999998</v>
      </c>
      <c r="H48">
        <v>790.71100000000001</v>
      </c>
      <c r="I48">
        <v>1453.21</v>
      </c>
      <c r="J48">
        <v>662.49900000000002</v>
      </c>
      <c r="K48">
        <v>7</v>
      </c>
      <c r="L48">
        <v>-4.2999999999999997E-2</v>
      </c>
      <c r="M48">
        <v>5</v>
      </c>
      <c r="N48">
        <v>120</v>
      </c>
      <c r="O48">
        <v>47</v>
      </c>
      <c r="P48">
        <v>0</v>
      </c>
      <c r="Q48">
        <v>2.2839999999999998</v>
      </c>
      <c r="R48">
        <v>0.77600000000000002</v>
      </c>
      <c r="S48">
        <v>-0.90900000000000003</v>
      </c>
      <c r="T48">
        <v>-23.63</v>
      </c>
      <c r="U48">
        <v>6.2370000000000001</v>
      </c>
      <c r="V48">
        <v>130.97999999999999</v>
      </c>
      <c r="W48">
        <v>-35.5</v>
      </c>
      <c r="X48" t="s">
        <v>47</v>
      </c>
      <c r="Y48" t="s">
        <v>35</v>
      </c>
      <c r="Z48" t="s">
        <v>106</v>
      </c>
    </row>
    <row r="49" spans="1:26" outlineLevel="2" x14ac:dyDescent="0.25">
      <c r="A49" t="s">
        <v>63</v>
      </c>
      <c r="B49">
        <v>0</v>
      </c>
      <c r="C49">
        <v>1.302</v>
      </c>
      <c r="D49">
        <v>52.615000000000002</v>
      </c>
      <c r="E49">
        <v>3.4420000000000002</v>
      </c>
      <c r="F49">
        <v>134.61500000000001</v>
      </c>
      <c r="G49">
        <v>8.8059999999999992</v>
      </c>
      <c r="H49">
        <v>914.04600000000005</v>
      </c>
      <c r="I49">
        <v>1528.721</v>
      </c>
      <c r="J49">
        <v>614.67499999999995</v>
      </c>
      <c r="K49">
        <v>10</v>
      </c>
      <c r="L49">
        <v>-0.01</v>
      </c>
      <c r="M49">
        <v>1</v>
      </c>
      <c r="N49">
        <v>120</v>
      </c>
      <c r="O49">
        <v>50</v>
      </c>
      <c r="P49">
        <v>0</v>
      </c>
      <c r="Q49">
        <v>3.8849999999999998</v>
      </c>
      <c r="R49">
        <v>0.65400000000000003</v>
      </c>
      <c r="S49">
        <v>-1.3109999999999999</v>
      </c>
      <c r="T49">
        <v>-35.409999999999997</v>
      </c>
      <c r="U49">
        <v>9.9849999999999994</v>
      </c>
      <c r="V49">
        <v>229.66</v>
      </c>
      <c r="W49">
        <v>-35</v>
      </c>
      <c r="X49" t="s">
        <v>47</v>
      </c>
      <c r="Y49" t="s">
        <v>35</v>
      </c>
      <c r="Z49" t="s">
        <v>107</v>
      </c>
    </row>
    <row r="50" spans="1:26" outlineLevel="2" x14ac:dyDescent="0.25">
      <c r="A50" t="s">
        <v>63</v>
      </c>
      <c r="B50">
        <v>0</v>
      </c>
      <c r="C50">
        <v>2.157</v>
      </c>
      <c r="D50">
        <v>110.943</v>
      </c>
      <c r="E50">
        <v>6.85</v>
      </c>
      <c r="F50">
        <v>155.24700000000001</v>
      </c>
      <c r="G50">
        <v>9.5850000000000009</v>
      </c>
      <c r="H50">
        <v>923.19100000000003</v>
      </c>
      <c r="I50">
        <v>1619.675</v>
      </c>
      <c r="J50">
        <v>696.48400000000004</v>
      </c>
      <c r="K50">
        <v>14</v>
      </c>
      <c r="L50">
        <v>-7.0000000000000001E-3</v>
      </c>
      <c r="M50">
        <v>2</v>
      </c>
      <c r="N50">
        <v>120</v>
      </c>
      <c r="O50">
        <v>50</v>
      </c>
      <c r="P50">
        <v>0</v>
      </c>
      <c r="Q50">
        <v>3.7629999999999999</v>
      </c>
      <c r="R50">
        <v>0.64100000000000001</v>
      </c>
      <c r="S50">
        <v>-0.42399999999999999</v>
      </c>
      <c r="T50">
        <v>-12.728</v>
      </c>
      <c r="U50">
        <v>10.044</v>
      </c>
      <c r="V50">
        <v>200.887</v>
      </c>
      <c r="W50">
        <v>-34.9</v>
      </c>
      <c r="X50" t="s">
        <v>47</v>
      </c>
      <c r="Y50" t="s">
        <v>35</v>
      </c>
      <c r="Z50" t="s">
        <v>108</v>
      </c>
    </row>
    <row r="51" spans="1:26" outlineLevel="2" x14ac:dyDescent="0.25">
      <c r="A51" t="s">
        <v>63</v>
      </c>
      <c r="B51">
        <v>0</v>
      </c>
      <c r="C51">
        <v>-0.53700000000000003</v>
      </c>
      <c r="D51">
        <v>0.13</v>
      </c>
      <c r="E51">
        <v>7.0000000000000001E-3</v>
      </c>
      <c r="F51">
        <v>70.430999999999997</v>
      </c>
      <c r="G51">
        <v>3.698</v>
      </c>
      <c r="H51">
        <v>1234.615</v>
      </c>
      <c r="I51">
        <v>1904.7159999999999</v>
      </c>
      <c r="J51">
        <v>670.101</v>
      </c>
      <c r="K51">
        <v>7</v>
      </c>
      <c r="L51">
        <v>-5.0999999999999997E-2</v>
      </c>
      <c r="M51">
        <v>5</v>
      </c>
      <c r="N51">
        <v>120</v>
      </c>
      <c r="O51">
        <v>58</v>
      </c>
      <c r="P51">
        <v>0</v>
      </c>
      <c r="Q51">
        <v>-0.313</v>
      </c>
      <c r="R51">
        <v>0.58599999999999997</v>
      </c>
      <c r="S51">
        <v>-2.036</v>
      </c>
      <c r="T51">
        <v>-67.198999999999998</v>
      </c>
      <c r="U51">
        <v>1.962</v>
      </c>
      <c r="V51">
        <v>49.037999999999997</v>
      </c>
      <c r="W51">
        <v>-34.799999999999997</v>
      </c>
      <c r="X51" t="s">
        <v>47</v>
      </c>
      <c r="Y51" t="s">
        <v>35</v>
      </c>
      <c r="Z51" t="s">
        <v>109</v>
      </c>
    </row>
    <row r="52" spans="1:26" outlineLevel="2" x14ac:dyDescent="0.25">
      <c r="A52" t="s">
        <v>63</v>
      </c>
      <c r="B52">
        <v>0</v>
      </c>
      <c r="C52">
        <v>4.8209999999999997</v>
      </c>
      <c r="D52">
        <v>52.286999999999999</v>
      </c>
      <c r="E52">
        <v>3.089</v>
      </c>
      <c r="F52">
        <v>472.733</v>
      </c>
      <c r="G52">
        <v>27.925000000000001</v>
      </c>
      <c r="H52">
        <v>1072.7239999999999</v>
      </c>
      <c r="I52">
        <v>1692.8620000000001</v>
      </c>
      <c r="J52">
        <v>620.13699999999994</v>
      </c>
      <c r="K52">
        <v>12</v>
      </c>
      <c r="L52">
        <v>-4.0000000000000001E-3</v>
      </c>
      <c r="M52">
        <v>4</v>
      </c>
      <c r="N52">
        <v>120</v>
      </c>
      <c r="O52">
        <v>57</v>
      </c>
      <c r="P52">
        <v>0</v>
      </c>
      <c r="Q52">
        <v>8.2309999999999999</v>
      </c>
      <c r="R52">
        <v>0.622</v>
      </c>
      <c r="S52">
        <v>-1.476</v>
      </c>
      <c r="T52">
        <v>-50.173000000000002</v>
      </c>
      <c r="U52">
        <v>22.58</v>
      </c>
      <c r="V52">
        <v>519.33799999999997</v>
      </c>
      <c r="W52">
        <v>-34.6</v>
      </c>
      <c r="X52" t="s">
        <v>47</v>
      </c>
      <c r="Y52" t="s">
        <v>35</v>
      </c>
      <c r="Z52" t="s">
        <v>110</v>
      </c>
    </row>
    <row r="53" spans="1:26" outlineLevel="2" x14ac:dyDescent="0.25">
      <c r="A53" t="s">
        <v>63</v>
      </c>
      <c r="B53">
        <v>0</v>
      </c>
      <c r="C53">
        <v>3.5390000000000001</v>
      </c>
      <c r="D53">
        <v>64.536000000000001</v>
      </c>
      <c r="E53">
        <v>3.694</v>
      </c>
      <c r="F53">
        <v>225.185</v>
      </c>
      <c r="G53">
        <v>12.888999999999999</v>
      </c>
      <c r="H53">
        <v>1006.179</v>
      </c>
      <c r="I53">
        <v>1747.0540000000001</v>
      </c>
      <c r="J53">
        <v>740.875</v>
      </c>
      <c r="K53">
        <v>13</v>
      </c>
      <c r="L53">
        <v>-3.0000000000000001E-3</v>
      </c>
      <c r="M53">
        <v>2</v>
      </c>
      <c r="N53">
        <v>120</v>
      </c>
      <c r="O53">
        <v>54</v>
      </c>
      <c r="P53">
        <v>0</v>
      </c>
      <c r="Q53">
        <v>8.5340000000000007</v>
      </c>
      <c r="R53">
        <v>0.53300000000000003</v>
      </c>
      <c r="S53">
        <v>-1.036</v>
      </c>
      <c r="T53">
        <v>-34.173999999999999</v>
      </c>
      <c r="U53">
        <v>23.573</v>
      </c>
      <c r="V53">
        <v>495.03199999999998</v>
      </c>
      <c r="W53">
        <v>-34.4</v>
      </c>
      <c r="X53" t="s">
        <v>47</v>
      </c>
      <c r="Y53" t="s">
        <v>35</v>
      </c>
      <c r="Z53" t="s">
        <v>111</v>
      </c>
    </row>
    <row r="54" spans="1:26" outlineLevel="2" x14ac:dyDescent="0.25">
      <c r="A54" t="s">
        <v>63</v>
      </c>
      <c r="B54">
        <v>0</v>
      </c>
      <c r="C54">
        <v>2.3679999999999999</v>
      </c>
      <c r="D54">
        <v>122.229</v>
      </c>
      <c r="E54">
        <v>7.2859999999999996</v>
      </c>
      <c r="F54">
        <v>310.24</v>
      </c>
      <c r="G54">
        <v>18.492000000000001</v>
      </c>
      <c r="H54">
        <v>1098.9169999999999</v>
      </c>
      <c r="I54">
        <v>1677.6659999999999</v>
      </c>
      <c r="J54">
        <v>578.74900000000002</v>
      </c>
      <c r="K54">
        <v>4</v>
      </c>
      <c r="L54">
        <v>-8.0000000000000002E-3</v>
      </c>
      <c r="M54">
        <v>4</v>
      </c>
      <c r="N54">
        <v>120</v>
      </c>
      <c r="O54">
        <v>57</v>
      </c>
      <c r="P54">
        <v>0</v>
      </c>
      <c r="Q54">
        <v>5.1260000000000003</v>
      </c>
      <c r="R54">
        <v>0.5</v>
      </c>
      <c r="S54">
        <v>-0.54800000000000004</v>
      </c>
      <c r="T54">
        <v>-19.178000000000001</v>
      </c>
      <c r="U54">
        <v>14.151999999999999</v>
      </c>
      <c r="V54">
        <v>311.35300000000001</v>
      </c>
      <c r="W54">
        <v>-34.1</v>
      </c>
      <c r="X54" t="s">
        <v>47</v>
      </c>
      <c r="Y54" t="s">
        <v>35</v>
      </c>
      <c r="Z54" t="s">
        <v>112</v>
      </c>
    </row>
    <row r="55" spans="1:26" outlineLevel="2" x14ac:dyDescent="0.25">
      <c r="A55" t="s">
        <v>63</v>
      </c>
      <c r="B55">
        <v>0</v>
      </c>
      <c r="C55">
        <v>4.0030000000000001</v>
      </c>
      <c r="D55">
        <v>108.16500000000001</v>
      </c>
      <c r="E55">
        <v>6.15</v>
      </c>
      <c r="F55">
        <v>534.70399999999995</v>
      </c>
      <c r="G55">
        <v>30.404</v>
      </c>
      <c r="H55">
        <v>946.54499999999996</v>
      </c>
      <c r="I55">
        <v>1758.664</v>
      </c>
      <c r="J55">
        <v>812.11900000000003</v>
      </c>
      <c r="K55">
        <v>22</v>
      </c>
      <c r="L55">
        <v>-4.0000000000000001E-3</v>
      </c>
      <c r="M55">
        <v>1</v>
      </c>
      <c r="N55">
        <v>120</v>
      </c>
      <c r="O55">
        <v>56</v>
      </c>
      <c r="P55">
        <v>0</v>
      </c>
      <c r="Q55">
        <v>9.24</v>
      </c>
      <c r="R55">
        <v>0.63600000000000001</v>
      </c>
      <c r="S55">
        <v>0.108</v>
      </c>
      <c r="T55">
        <v>3.577</v>
      </c>
      <c r="U55">
        <v>22.341999999999999</v>
      </c>
      <c r="V55">
        <v>513.875</v>
      </c>
      <c r="W55">
        <v>-33.9</v>
      </c>
      <c r="X55" t="s">
        <v>47</v>
      </c>
      <c r="Y55" t="s">
        <v>35</v>
      </c>
      <c r="Z55" t="s">
        <v>113</v>
      </c>
    </row>
    <row r="56" spans="1:26" outlineLevel="1" x14ac:dyDescent="0.25">
      <c r="I56">
        <f>SUBTOTAL(1,I46:I55)</f>
        <v>1648.4428999999996</v>
      </c>
      <c r="M56">
        <f>SUBTOTAL(1,M46:M55)</f>
        <v>2.9</v>
      </c>
      <c r="Y56" s="1" t="s">
        <v>126</v>
      </c>
    </row>
    <row r="57" spans="1:26" outlineLevel="2" x14ac:dyDescent="0.25">
      <c r="A57" t="s">
        <v>63</v>
      </c>
      <c r="B57">
        <v>0</v>
      </c>
      <c r="C57">
        <v>1.351</v>
      </c>
      <c r="D57">
        <v>5.9169999999999998</v>
      </c>
      <c r="E57">
        <v>0.34799999999999998</v>
      </c>
      <c r="F57">
        <v>54.805999999999997</v>
      </c>
      <c r="G57">
        <v>3.226</v>
      </c>
      <c r="H57">
        <v>786.66899999999998</v>
      </c>
      <c r="I57">
        <v>1698.6569999999999</v>
      </c>
      <c r="J57">
        <v>911.98699999999997</v>
      </c>
      <c r="K57">
        <v>11</v>
      </c>
      <c r="L57">
        <v>-9.4E-2</v>
      </c>
      <c r="M57">
        <v>6</v>
      </c>
      <c r="N57">
        <v>123</v>
      </c>
      <c r="O57">
        <v>43</v>
      </c>
      <c r="P57">
        <v>0</v>
      </c>
      <c r="Q57">
        <v>0.98799999999999999</v>
      </c>
      <c r="R57">
        <v>0.65500000000000003</v>
      </c>
      <c r="S57">
        <v>-2.2040000000000002</v>
      </c>
      <c r="T57">
        <v>-48.488</v>
      </c>
      <c r="U57">
        <v>4.3319999999999999</v>
      </c>
      <c r="V57">
        <v>90.981999999999999</v>
      </c>
      <c r="W57">
        <v>-43.1</v>
      </c>
      <c r="X57" t="s">
        <v>47</v>
      </c>
      <c r="Y57" t="s">
        <v>41</v>
      </c>
      <c r="Z57" t="s">
        <v>114</v>
      </c>
    </row>
    <row r="58" spans="1:26" outlineLevel="2" x14ac:dyDescent="0.25">
      <c r="A58" t="s">
        <v>63</v>
      </c>
      <c r="B58">
        <v>0</v>
      </c>
      <c r="C58">
        <v>0.11700000000000001</v>
      </c>
      <c r="D58">
        <v>45.975000000000001</v>
      </c>
      <c r="E58">
        <v>2.3719999999999999</v>
      </c>
      <c r="F58">
        <v>119.29300000000001</v>
      </c>
      <c r="G58">
        <v>6.1539999999999999</v>
      </c>
      <c r="H58">
        <v>1089.47</v>
      </c>
      <c r="I58">
        <v>1938.4770000000001</v>
      </c>
      <c r="J58">
        <v>849.00699999999995</v>
      </c>
      <c r="K58">
        <v>10</v>
      </c>
      <c r="L58">
        <v>-2.3E-2</v>
      </c>
      <c r="M58">
        <v>4</v>
      </c>
      <c r="N58">
        <v>123</v>
      </c>
      <c r="O58">
        <v>55</v>
      </c>
      <c r="P58">
        <v>0</v>
      </c>
      <c r="Q58">
        <v>1.254</v>
      </c>
      <c r="R58">
        <v>0.50700000000000001</v>
      </c>
      <c r="S58">
        <v>-1.0409999999999999</v>
      </c>
      <c r="T58">
        <v>-30.201000000000001</v>
      </c>
      <c r="U58">
        <v>3.8130000000000002</v>
      </c>
      <c r="V58">
        <v>99.147999999999996</v>
      </c>
      <c r="W58">
        <v>-42.7</v>
      </c>
      <c r="X58" t="s">
        <v>47</v>
      </c>
      <c r="Y58" t="s">
        <v>41</v>
      </c>
      <c r="Z58" t="s">
        <v>115</v>
      </c>
    </row>
    <row r="59" spans="1:26" outlineLevel="2" x14ac:dyDescent="0.25">
      <c r="A59" t="s">
        <v>63</v>
      </c>
      <c r="B59">
        <v>0</v>
      </c>
      <c r="C59">
        <v>-0.19</v>
      </c>
      <c r="D59">
        <v>-6.1950000000000003</v>
      </c>
      <c r="E59">
        <v>-0.35699999999999998</v>
      </c>
      <c r="F59">
        <v>44.435000000000002</v>
      </c>
      <c r="G59">
        <v>2.5609999999999999</v>
      </c>
      <c r="H59">
        <v>922.404</v>
      </c>
      <c r="I59">
        <v>1735.373</v>
      </c>
      <c r="J59">
        <v>812.96900000000005</v>
      </c>
      <c r="K59">
        <v>11</v>
      </c>
      <c r="L59">
        <v>-3.5999999999999997E-2</v>
      </c>
      <c r="M59">
        <v>3</v>
      </c>
      <c r="N59">
        <v>123</v>
      </c>
      <c r="O59">
        <v>58</v>
      </c>
      <c r="P59">
        <v>0</v>
      </c>
      <c r="Q59">
        <v>-0.16200000000000001</v>
      </c>
      <c r="R59">
        <v>0.57999999999999996</v>
      </c>
      <c r="S59">
        <v>-2.2810000000000001</v>
      </c>
      <c r="T59">
        <v>-75.287000000000006</v>
      </c>
      <c r="U59">
        <v>2.6360000000000001</v>
      </c>
      <c r="V59">
        <v>65.896000000000001</v>
      </c>
      <c r="W59">
        <v>-41.9</v>
      </c>
      <c r="X59" t="s">
        <v>47</v>
      </c>
      <c r="Y59" t="s">
        <v>41</v>
      </c>
      <c r="Z59" t="s">
        <v>116</v>
      </c>
    </row>
    <row r="60" spans="1:26" outlineLevel="2" x14ac:dyDescent="0.25">
      <c r="A60" t="s">
        <v>63</v>
      </c>
      <c r="B60">
        <v>0</v>
      </c>
      <c r="C60">
        <v>-0.11899999999999999</v>
      </c>
      <c r="D60">
        <v>-4.165</v>
      </c>
      <c r="E60">
        <v>-0.221</v>
      </c>
      <c r="F60">
        <v>21.879000000000001</v>
      </c>
      <c r="G60">
        <v>1.163</v>
      </c>
      <c r="H60">
        <v>992.89300000000003</v>
      </c>
      <c r="I60">
        <v>1881.0229999999999</v>
      </c>
      <c r="J60">
        <v>888.13</v>
      </c>
      <c r="K60">
        <v>7</v>
      </c>
      <c r="L60">
        <v>-0.17399999999999999</v>
      </c>
      <c r="M60">
        <v>6</v>
      </c>
      <c r="N60">
        <v>123</v>
      </c>
      <c r="O60">
        <v>56</v>
      </c>
      <c r="P60">
        <v>0</v>
      </c>
      <c r="Q60">
        <v>-0.33</v>
      </c>
      <c r="R60">
        <v>0.56299999999999994</v>
      </c>
      <c r="S60">
        <v>-2.3180000000000001</v>
      </c>
      <c r="T60">
        <v>-74.171999999999997</v>
      </c>
      <c r="U60">
        <v>2.3199999999999998</v>
      </c>
      <c r="V60">
        <v>55.673999999999999</v>
      </c>
      <c r="W60">
        <v>-41.7</v>
      </c>
      <c r="X60" t="s">
        <v>47</v>
      </c>
      <c r="Y60" t="s">
        <v>41</v>
      </c>
      <c r="Z60" t="s">
        <v>117</v>
      </c>
    </row>
    <row r="61" spans="1:26" outlineLevel="2" x14ac:dyDescent="0.25">
      <c r="A61" t="s">
        <v>63</v>
      </c>
      <c r="B61">
        <v>0</v>
      </c>
      <c r="C61">
        <v>0.86299999999999999</v>
      </c>
      <c r="D61">
        <v>5.4340000000000002</v>
      </c>
      <c r="E61">
        <v>0.38700000000000001</v>
      </c>
      <c r="F61">
        <v>35.878999999999998</v>
      </c>
      <c r="G61">
        <v>2.5590000000000002</v>
      </c>
      <c r="H61">
        <v>747.274</v>
      </c>
      <c r="I61">
        <v>1402.261</v>
      </c>
      <c r="J61">
        <v>654.98699999999997</v>
      </c>
      <c r="K61">
        <v>12</v>
      </c>
      <c r="L61">
        <v>-0.06</v>
      </c>
      <c r="M61">
        <v>3</v>
      </c>
      <c r="N61">
        <v>123</v>
      </c>
      <c r="O61">
        <v>43</v>
      </c>
      <c r="P61">
        <v>0</v>
      </c>
      <c r="Q61">
        <v>0.40500000000000003</v>
      </c>
      <c r="R61">
        <v>0.61699999999999999</v>
      </c>
      <c r="S61">
        <v>-1.542</v>
      </c>
      <c r="T61">
        <v>-35.472000000000001</v>
      </c>
      <c r="U61">
        <v>2.6440000000000001</v>
      </c>
      <c r="V61">
        <v>52.881999999999998</v>
      </c>
      <c r="W61">
        <v>-41.6</v>
      </c>
      <c r="X61" t="s">
        <v>47</v>
      </c>
      <c r="Y61" t="s">
        <v>41</v>
      </c>
      <c r="Z61" t="s">
        <v>118</v>
      </c>
    </row>
    <row r="62" spans="1:26" outlineLevel="2" x14ac:dyDescent="0.25">
      <c r="A62" t="s">
        <v>63</v>
      </c>
      <c r="B62">
        <v>0</v>
      </c>
      <c r="C62">
        <v>1.657</v>
      </c>
      <c r="D62">
        <v>197.00200000000001</v>
      </c>
      <c r="E62">
        <v>12.353</v>
      </c>
      <c r="F62">
        <v>270.39699999999999</v>
      </c>
      <c r="G62">
        <v>16.954999999999998</v>
      </c>
      <c r="H62">
        <v>930.71600000000001</v>
      </c>
      <c r="I62">
        <v>1594.7809999999999</v>
      </c>
      <c r="J62">
        <v>664.06500000000005</v>
      </c>
      <c r="K62">
        <v>10</v>
      </c>
      <c r="L62">
        <v>-4.0000000000000001E-3</v>
      </c>
      <c r="M62">
        <v>5</v>
      </c>
      <c r="N62">
        <v>123</v>
      </c>
      <c r="O62">
        <v>55</v>
      </c>
      <c r="P62">
        <v>0</v>
      </c>
      <c r="Q62">
        <v>4.032</v>
      </c>
      <c r="R62">
        <v>0.55200000000000005</v>
      </c>
      <c r="S62">
        <v>1.3919999999999999</v>
      </c>
      <c r="T62">
        <v>40.354999999999997</v>
      </c>
      <c r="U62">
        <v>6.976</v>
      </c>
      <c r="V62">
        <v>181.381</v>
      </c>
      <c r="W62">
        <v>-41.6</v>
      </c>
      <c r="X62" t="s">
        <v>47</v>
      </c>
      <c r="Y62" t="s">
        <v>41</v>
      </c>
      <c r="Z62" t="s">
        <v>119</v>
      </c>
    </row>
    <row r="63" spans="1:26" outlineLevel="2" x14ac:dyDescent="0.25">
      <c r="A63" t="s">
        <v>63</v>
      </c>
      <c r="B63">
        <v>0</v>
      </c>
      <c r="C63">
        <v>2.7679999999999998</v>
      </c>
      <c r="D63">
        <v>231.292</v>
      </c>
      <c r="E63">
        <v>12.15</v>
      </c>
      <c r="F63">
        <v>323.476</v>
      </c>
      <c r="G63">
        <v>16.992000000000001</v>
      </c>
      <c r="H63">
        <v>1054.914</v>
      </c>
      <c r="I63">
        <v>1903.712</v>
      </c>
      <c r="J63">
        <v>848.79899999999998</v>
      </c>
      <c r="K63">
        <v>20</v>
      </c>
      <c r="L63">
        <v>-1E-3</v>
      </c>
      <c r="M63">
        <v>2</v>
      </c>
      <c r="N63">
        <v>123</v>
      </c>
      <c r="O63">
        <v>61</v>
      </c>
      <c r="P63">
        <v>0</v>
      </c>
      <c r="Q63">
        <v>5.3710000000000004</v>
      </c>
      <c r="R63">
        <v>0.60299999999999998</v>
      </c>
      <c r="S63">
        <v>1.2809999999999999</v>
      </c>
      <c r="T63">
        <v>42.256999999999998</v>
      </c>
      <c r="U63">
        <v>10.191000000000001</v>
      </c>
      <c r="V63">
        <v>285.35000000000002</v>
      </c>
      <c r="W63">
        <v>-41.6</v>
      </c>
      <c r="X63" t="s">
        <v>47</v>
      </c>
      <c r="Y63" t="s">
        <v>41</v>
      </c>
      <c r="Z63" t="s">
        <v>120</v>
      </c>
    </row>
    <row r="64" spans="1:26" outlineLevel="2" x14ac:dyDescent="0.25">
      <c r="A64" t="s">
        <v>63</v>
      </c>
      <c r="B64">
        <v>0</v>
      </c>
      <c r="C64">
        <v>0.44700000000000001</v>
      </c>
      <c r="D64">
        <v>23.785</v>
      </c>
      <c r="E64">
        <v>1.214</v>
      </c>
      <c r="F64">
        <v>57.165999999999997</v>
      </c>
      <c r="G64">
        <v>2.9180000000000001</v>
      </c>
      <c r="H64">
        <v>1061.587</v>
      </c>
      <c r="I64">
        <v>1958.894</v>
      </c>
      <c r="J64">
        <v>897.30700000000002</v>
      </c>
      <c r="K64">
        <v>11</v>
      </c>
      <c r="L64">
        <v>-5.0999999999999997E-2</v>
      </c>
      <c r="M64">
        <v>3</v>
      </c>
      <c r="N64">
        <v>123</v>
      </c>
      <c r="O64">
        <v>59</v>
      </c>
      <c r="P64">
        <v>0</v>
      </c>
      <c r="Q64">
        <v>0.77200000000000002</v>
      </c>
      <c r="R64">
        <v>0.496</v>
      </c>
      <c r="S64">
        <v>-1.4970000000000001</v>
      </c>
      <c r="T64">
        <v>-49.389000000000003</v>
      </c>
      <c r="U64">
        <v>3.6509999999999998</v>
      </c>
      <c r="V64">
        <v>94.936000000000007</v>
      </c>
      <c r="W64">
        <v>-41.4</v>
      </c>
      <c r="X64" t="s">
        <v>47</v>
      </c>
      <c r="Y64" t="s">
        <v>41</v>
      </c>
      <c r="Z64" t="s">
        <v>121</v>
      </c>
    </row>
    <row r="65" spans="1:26" outlineLevel="2" x14ac:dyDescent="0.25">
      <c r="A65" t="s">
        <v>63</v>
      </c>
      <c r="B65">
        <v>0</v>
      </c>
      <c r="C65">
        <v>0.27500000000000002</v>
      </c>
      <c r="D65">
        <v>21.738</v>
      </c>
      <c r="E65">
        <v>1.2130000000000001</v>
      </c>
      <c r="F65">
        <v>96.957999999999998</v>
      </c>
      <c r="G65">
        <v>5.4089999999999998</v>
      </c>
      <c r="H65">
        <v>874.08399999999995</v>
      </c>
      <c r="I65">
        <v>1792.653</v>
      </c>
      <c r="J65">
        <v>918.56799999999998</v>
      </c>
      <c r="K65">
        <v>13</v>
      </c>
      <c r="L65">
        <v>-5.0999999999999997E-2</v>
      </c>
      <c r="M65">
        <v>7</v>
      </c>
      <c r="N65">
        <v>123</v>
      </c>
      <c r="O65">
        <v>55</v>
      </c>
      <c r="P65">
        <v>0</v>
      </c>
      <c r="Q65">
        <v>1.4830000000000001</v>
      </c>
      <c r="R65">
        <v>0.51600000000000001</v>
      </c>
      <c r="S65">
        <v>-1.179</v>
      </c>
      <c r="T65">
        <v>-33.002000000000002</v>
      </c>
      <c r="U65">
        <v>4.2430000000000003</v>
      </c>
      <c r="V65">
        <v>114.55200000000001</v>
      </c>
      <c r="W65">
        <v>-40.9</v>
      </c>
      <c r="X65" t="s">
        <v>47</v>
      </c>
      <c r="Y65" t="s">
        <v>41</v>
      </c>
      <c r="Z65" t="s">
        <v>122</v>
      </c>
    </row>
    <row r="66" spans="1:26" outlineLevel="2" x14ac:dyDescent="0.25">
      <c r="A66" t="s">
        <v>63</v>
      </c>
      <c r="B66">
        <v>0</v>
      </c>
      <c r="C66">
        <v>0.64100000000000001</v>
      </c>
      <c r="D66">
        <v>41.737000000000002</v>
      </c>
      <c r="E66">
        <v>2.516</v>
      </c>
      <c r="F66">
        <v>59.959000000000003</v>
      </c>
      <c r="G66">
        <v>3.6150000000000002</v>
      </c>
      <c r="H66">
        <v>918.61</v>
      </c>
      <c r="I66">
        <v>1658.816</v>
      </c>
      <c r="J66">
        <v>740.20699999999999</v>
      </c>
      <c r="K66">
        <v>8</v>
      </c>
      <c r="L66">
        <v>-0.01</v>
      </c>
      <c r="M66">
        <v>1</v>
      </c>
      <c r="N66">
        <v>123</v>
      </c>
      <c r="O66">
        <v>50</v>
      </c>
      <c r="P66">
        <v>0</v>
      </c>
      <c r="Q66">
        <v>0.56599999999999995</v>
      </c>
      <c r="R66">
        <v>0.53800000000000003</v>
      </c>
      <c r="S66">
        <v>-1.5289999999999999</v>
      </c>
      <c r="T66">
        <v>-44.348999999999997</v>
      </c>
      <c r="U66">
        <v>3.4590000000000001</v>
      </c>
      <c r="V66">
        <v>72.641000000000005</v>
      </c>
      <c r="W66">
        <v>-40.9</v>
      </c>
      <c r="X66" t="s">
        <v>47</v>
      </c>
      <c r="Y66" t="s">
        <v>41</v>
      </c>
      <c r="Z66" t="s">
        <v>123</v>
      </c>
    </row>
    <row r="67" spans="1:26" outlineLevel="1" x14ac:dyDescent="0.25">
      <c r="I67">
        <f>SUBTOTAL(1,I57:I66)</f>
        <v>1756.4647</v>
      </c>
      <c r="M67">
        <f>SUBTOTAL(1,M57:M66)</f>
        <v>4</v>
      </c>
      <c r="Y67" s="1" t="s">
        <v>127</v>
      </c>
    </row>
    <row r="68" spans="1:26" x14ac:dyDescent="0.25">
      <c r="I68">
        <f>SUBTOTAL(1,I2:I66)</f>
        <v>1754.955016666667</v>
      </c>
      <c r="M68">
        <f>SUBTOTAL(1,M2:M66)</f>
        <v>3.3166666666666669</v>
      </c>
      <c r="Y68" s="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concat_summary_interface_metric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Villasmil, Rafael (NIH/NEI) [E]</dc:creator>
  <cp:lastModifiedBy>Rafael S Villasmil</cp:lastModifiedBy>
  <dcterms:created xsi:type="dcterms:W3CDTF">2026-06-29T20:56:08Z</dcterms:created>
  <dcterms:modified xsi:type="dcterms:W3CDTF">2026-06-29T21:08:19Z</dcterms:modified>
</cp:coreProperties>
</file>